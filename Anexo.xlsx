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git hub\PROYECTO FINAL\Proyecto-final-vivienda-Madrid-Malaga-Sevilla\"/>
    </mc:Choice>
  </mc:AlternateContent>
  <xr:revisionPtr revIDLastSave="0" documentId="13_ncr:1_{DC7B4A52-9819-4455-AC27-5BB9B4812553}" xr6:coauthVersionLast="47" xr6:coauthVersionMax="47" xr10:uidLastSave="{00000000-0000-0000-0000-000000000000}"/>
  <bookViews>
    <workbookView xWindow="-120" yWindow="-120" windowWidth="29040" windowHeight="15720" firstSheet="2" activeTab="5" xr2:uid="{8FBC8370-45D0-42C1-8D14-9637C140FBA3}"/>
  </bookViews>
  <sheets>
    <sheet name="Evolutivo" sheetId="30" state="hidden" r:id="rId1"/>
    <sheet name="Grafico (2)" sheetId="29" state="hidden" r:id="rId2"/>
    <sheet name="Unidades_viviendas" sheetId="16" r:id="rId3"/>
    <sheet name="Unidades_EDA" sheetId="22" r:id="rId4"/>
    <sheet name="Rentabilidad_años" sheetId="21" r:id="rId5"/>
    <sheet name="%_Salario" sheetId="23" r:id="rId6"/>
    <sheet name="Salario" sheetId="26" r:id="rId7"/>
    <sheet name="Incremento vivienda" sheetId="27" r:id="rId8"/>
  </sheets>
  <definedNames>
    <definedName name="_xlnm._FilterDatabase" localSheetId="2" hidden="1">Unidades_viviendas!$B$4:$D$63</definedName>
    <definedName name="SegmentaciónDeDatos_Años__Mes11">#N/A</definedName>
    <definedName name="SegmentaciónDeDatos_Años__Mes2">#N/A</definedName>
    <definedName name="SegmentaciónDeDatos_Ciudad11">#N/A</definedName>
    <definedName name="SegmentaciónDeDatos_Ciudad2">#N/A</definedName>
  </definedNames>
  <calcPr calcId="191029"/>
  <pivotCaches>
    <pivotCache cacheId="14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" i="16" l="1"/>
  <c r="G64" i="16"/>
  <c r="G78" i="16"/>
  <c r="I20" i="26"/>
  <c r="I21" i="26"/>
  <c r="H20" i="26"/>
  <c r="H21" i="26"/>
  <c r="I21" i="22"/>
  <c r="F56" i="23" l="1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N56" i="23"/>
  <c r="N55" i="23"/>
  <c r="N54" i="23"/>
  <c r="N53" i="23"/>
  <c r="N52" i="23"/>
  <c r="N51" i="23"/>
  <c r="N50" i="23"/>
  <c r="N49" i="23"/>
  <c r="N48" i="23"/>
  <c r="N47" i="23"/>
  <c r="N46" i="23"/>
  <c r="N45" i="23"/>
  <c r="N44" i="23"/>
  <c r="N43" i="23"/>
  <c r="N42" i="23"/>
  <c r="N41" i="23"/>
  <c r="N40" i="23"/>
  <c r="N39" i="23"/>
  <c r="N32" i="23"/>
  <c r="N31" i="23"/>
  <c r="N30" i="23"/>
  <c r="N29" i="23"/>
  <c r="N28" i="23"/>
  <c r="N27" i="23"/>
  <c r="N26" i="23"/>
  <c r="N25" i="23"/>
  <c r="N24" i="23"/>
  <c r="N23" i="23"/>
  <c r="N22" i="23"/>
  <c r="N21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N9" i="23"/>
  <c r="N10" i="23"/>
  <c r="N11" i="23"/>
  <c r="N12" i="23"/>
  <c r="N13" i="23"/>
  <c r="N8" i="23"/>
  <c r="J9" i="23"/>
  <c r="J10" i="23"/>
  <c r="J11" i="23"/>
  <c r="J12" i="23"/>
  <c r="J13" i="23"/>
  <c r="J8" i="23"/>
  <c r="F9" i="23"/>
  <c r="F10" i="23"/>
  <c r="F11" i="23"/>
  <c r="F12" i="23"/>
  <c r="F13" i="23"/>
  <c r="F8" i="23"/>
  <c r="M8" i="27" l="1"/>
  <c r="M9" i="27"/>
  <c r="M10" i="27"/>
  <c r="M11" i="27"/>
  <c r="M12" i="27"/>
  <c r="M13" i="27"/>
  <c r="M14" i="27"/>
  <c r="M15" i="27"/>
  <c r="M16" i="27"/>
  <c r="M7" i="27"/>
  <c r="L8" i="27"/>
  <c r="L9" i="27"/>
  <c r="L10" i="27"/>
  <c r="L11" i="27"/>
  <c r="L12" i="27"/>
  <c r="L13" i="27"/>
  <c r="L14" i="27"/>
  <c r="L15" i="27"/>
  <c r="L16" i="27"/>
  <c r="L7" i="27"/>
  <c r="K8" i="27"/>
  <c r="K9" i="27"/>
  <c r="K10" i="27"/>
  <c r="K11" i="27"/>
  <c r="K12" i="27"/>
  <c r="K13" i="27"/>
  <c r="K14" i="27"/>
  <c r="K15" i="27"/>
  <c r="K16" i="27"/>
  <c r="K7" i="27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6" i="26"/>
  <c r="M54" i="23"/>
  <c r="M55" i="23"/>
  <c r="M56" i="23"/>
  <c r="I54" i="23"/>
  <c r="I55" i="23"/>
  <c r="I56" i="23"/>
  <c r="E55" i="23"/>
  <c r="E56" i="23"/>
  <c r="R4" i="29"/>
  <c r="R3" i="29"/>
  <c r="R5" i="29" l="1"/>
  <c r="M52" i="23" l="1"/>
  <c r="M51" i="23"/>
  <c r="M50" i="23"/>
  <c r="M49" i="23"/>
  <c r="M48" i="23"/>
  <c r="M47" i="23"/>
  <c r="M46" i="23"/>
  <c r="M45" i="23"/>
  <c r="M44" i="23"/>
  <c r="M43" i="23"/>
  <c r="M42" i="23"/>
  <c r="M41" i="23"/>
  <c r="M40" i="23"/>
  <c r="M39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E54" i="23"/>
  <c r="E53" i="23"/>
  <c r="E52" i="23"/>
  <c r="E51" i="23"/>
  <c r="E50" i="23"/>
  <c r="E48" i="23"/>
  <c r="E47" i="23"/>
  <c r="E46" i="23"/>
  <c r="E45" i="23"/>
  <c r="E44" i="23"/>
  <c r="E43" i="23"/>
  <c r="E42" i="23"/>
  <c r="E41" i="23"/>
  <c r="E40" i="23"/>
  <c r="E39" i="23"/>
  <c r="I44" i="22"/>
  <c r="I64" i="22"/>
  <c r="E64" i="22"/>
  <c r="I63" i="22"/>
  <c r="E63" i="22"/>
  <c r="I62" i="22"/>
  <c r="E62" i="22"/>
  <c r="I61" i="22"/>
  <c r="E61" i="22"/>
  <c r="I60" i="22"/>
  <c r="E60" i="22"/>
  <c r="I59" i="22"/>
  <c r="E59" i="22"/>
  <c r="I58" i="22"/>
  <c r="E58" i="22"/>
  <c r="I57" i="22"/>
  <c r="E57" i="22"/>
  <c r="I56" i="22"/>
  <c r="E56" i="22"/>
  <c r="I55" i="22"/>
  <c r="E55" i="22"/>
  <c r="I43" i="22"/>
  <c r="I42" i="22"/>
  <c r="I41" i="22"/>
  <c r="I40" i="22"/>
  <c r="I35" i="22"/>
  <c r="I36" i="22"/>
  <c r="M32" i="23"/>
  <c r="I32" i="23"/>
  <c r="E40" i="22"/>
  <c r="E41" i="22"/>
  <c r="E42" i="22"/>
  <c r="E43" i="22"/>
  <c r="I39" i="22"/>
  <c r="E39" i="22"/>
  <c r="I38" i="22"/>
  <c r="E38" i="22"/>
  <c r="I37" i="22"/>
  <c r="E37" i="22"/>
  <c r="E36" i="22"/>
  <c r="E35" i="22"/>
  <c r="I34" i="22"/>
  <c r="E34" i="22"/>
  <c r="M31" i="23"/>
  <c r="M30" i="23"/>
  <c r="M29" i="23"/>
  <c r="M28" i="23"/>
  <c r="M27" i="23"/>
  <c r="M26" i="23"/>
  <c r="M25" i="23"/>
  <c r="M24" i="23"/>
  <c r="M23" i="23"/>
  <c r="M22" i="23"/>
  <c r="M21" i="23"/>
  <c r="I31" i="23"/>
  <c r="I28" i="23"/>
  <c r="I29" i="23"/>
  <c r="I30" i="23"/>
  <c r="I22" i="23"/>
  <c r="I23" i="23"/>
  <c r="I24" i="23"/>
  <c r="I25" i="23"/>
  <c r="I26" i="23"/>
  <c r="I27" i="23"/>
  <c r="I21" i="23"/>
  <c r="E27" i="23"/>
  <c r="E26" i="23"/>
  <c r="E25" i="23"/>
  <c r="E24" i="23"/>
  <c r="E23" i="23"/>
  <c r="E22" i="23"/>
  <c r="E21" i="23"/>
  <c r="M13" i="23" l="1"/>
  <c r="M12" i="23"/>
  <c r="M11" i="23"/>
  <c r="M10" i="23"/>
  <c r="M9" i="23"/>
  <c r="M8" i="23"/>
  <c r="I8" i="23"/>
  <c r="I9" i="23"/>
  <c r="E8" i="23"/>
  <c r="E13" i="23"/>
  <c r="E12" i="23"/>
  <c r="E11" i="23"/>
  <c r="E10" i="23"/>
  <c r="E9" i="23"/>
  <c r="I13" i="23"/>
  <c r="I12" i="23"/>
  <c r="I11" i="23"/>
  <c r="I10" i="23"/>
  <c r="E3" i="23"/>
  <c r="M2" i="23" s="1"/>
  <c r="P2" i="23" s="1"/>
  <c r="N20" i="22"/>
  <c r="N21" i="22"/>
  <c r="N22" i="22"/>
  <c r="N23" i="22"/>
  <c r="N24" i="22"/>
  <c r="N19" i="22"/>
  <c r="N9" i="22"/>
  <c r="N10" i="22"/>
  <c r="N11" i="22"/>
  <c r="N12" i="22"/>
  <c r="N13" i="22"/>
  <c r="N8" i="22"/>
  <c r="I20" i="22"/>
  <c r="I22" i="22"/>
  <c r="I23" i="22"/>
  <c r="I24" i="22"/>
  <c r="I19" i="22"/>
  <c r="I9" i="22"/>
  <c r="I10" i="22"/>
  <c r="I11" i="22"/>
  <c r="I12" i="22"/>
  <c r="I13" i="22"/>
  <c r="I8" i="22"/>
  <c r="E24" i="22"/>
  <c r="E23" i="22"/>
  <c r="E22" i="22"/>
  <c r="E21" i="22"/>
  <c r="E20" i="22"/>
  <c r="E19" i="22"/>
  <c r="E9" i="22"/>
  <c r="E10" i="22"/>
  <c r="E11" i="22"/>
  <c r="E12" i="22"/>
  <c r="E13" i="22"/>
  <c r="E8" i="22"/>
  <c r="F77" i="16"/>
  <c r="F63" i="16"/>
  <c r="L47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83" i="16"/>
  <c r="F83" i="16"/>
  <c r="L72" i="16"/>
  <c r="L73" i="16"/>
  <c r="L74" i="16"/>
  <c r="L75" i="16"/>
  <c r="L76" i="16"/>
  <c r="L71" i="16"/>
  <c r="M3" i="23" l="1"/>
  <c r="P3" i="23" s="1"/>
  <c r="F71" i="16"/>
  <c r="F76" i="16"/>
  <c r="F75" i="16"/>
  <c r="F74" i="16"/>
  <c r="F73" i="16"/>
  <c r="F72" i="16"/>
  <c r="J97" i="16"/>
  <c r="D97" i="16"/>
  <c r="F97" i="16" s="1"/>
  <c r="J77" i="16"/>
  <c r="L77" i="16" s="1"/>
  <c r="I77" i="16"/>
  <c r="C83" i="16" l="1"/>
  <c r="C96" i="16"/>
  <c r="C95" i="16"/>
  <c r="C92" i="16"/>
  <c r="C89" i="16"/>
  <c r="C87" i="16"/>
  <c r="C86" i="16"/>
  <c r="C85" i="16"/>
  <c r="C84" i="16"/>
  <c r="I90" i="16"/>
  <c r="L97" i="16"/>
  <c r="C94" i="16"/>
  <c r="C93" i="16"/>
  <c r="C91" i="16"/>
  <c r="C90" i="16"/>
  <c r="C88" i="16"/>
  <c r="I89" i="16"/>
  <c r="I88" i="16"/>
  <c r="I87" i="16"/>
  <c r="I91" i="16"/>
  <c r="I86" i="16"/>
  <c r="I83" i="16"/>
  <c r="I85" i="16"/>
  <c r="I96" i="16"/>
  <c r="I84" i="16"/>
  <c r="I95" i="16"/>
  <c r="I94" i="16"/>
  <c r="I93" i="16"/>
  <c r="I92" i="16"/>
  <c r="C97" i="16" l="1"/>
  <c r="I97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0F3DF0-2096-476F-8BCC-AE1B2ADC8894}" keepAlive="1" name="Consulta - datos_alquiler" description="Conexión a la consulta 'datos_alquiler' en el libro." type="5" refreshedVersion="8" background="1" saveData="1">
    <dbPr connection="Provider=Microsoft.Mashup.OleDb.1;Data Source=$Workbook$;Location=datos_alquiler;Extended Properties=&quot;&quot;" command="SELECT * FROM [datos_alquiler]"/>
  </connection>
  <connection id="2" xr16:uid="{A0B5DE6F-C1E4-4094-8E87-DAEB5FD12399}" keepAlive="1" name="Consulta - datos_alquiler (2)" description="Conexión a la consulta 'datos_alquiler (2)' en el libro." type="5" refreshedVersion="8" background="1" saveData="1">
    <dbPr connection="Provider=Microsoft.Mashup.OleDb.1;Data Source=$Workbook$;Location=&quot;datos_alquiler (2)&quot;;Extended Properties=&quot;&quot;" command="SELECT * FROM [datos_alquiler (2)]"/>
  </connection>
  <connection id="3" xr16:uid="{0EFFBC96-8F9E-41BE-A0E0-C950CE173B95}" keepAlive="1" name="Consulta - datos_analizar_compra" description="Conexión a la consulta 'datos_analizar_compra' en el libro." type="5" refreshedVersion="0" background="1">
    <dbPr connection="Provider=Microsoft.Mashup.OleDb.1;Data Source=$Workbook$;Location=datos_analizar_compra;Extended Properties=&quot;&quot;" command="SELECT * FROM [datos_analizar_compra]"/>
  </connection>
  <connection id="4" xr16:uid="{7E4D0687-0EE5-40C6-91E9-C3AEE4048305}" keepAlive="1" name="Consulta - datos_compra" description="Conexión a la consulta 'datos_compra' en el libro." type="5" refreshedVersion="0" background="1">
    <dbPr connection="Provider=Microsoft.Mashup.OleDb.1;Data Source=$Workbook$;Location=datos_compra;Extended Properties=&quot;&quot;" command="SELECT * FROM [datos_compra]"/>
  </connection>
  <connection id="5" xr16:uid="{4DB4C6E6-6318-40EC-B4D5-94FA4F4FA6F1}" keepAlive="1" name="Consulta - datos_compra (2)" description="Conexión a la consulta 'datos_compra (2)' en el libro." type="5" refreshedVersion="8" background="1" saveData="1">
    <dbPr connection="Provider=Microsoft.Mashup.OleDb.1;Data Source=$Workbook$;Location=&quot;datos_compra (2)&quot;;Extended Properties=&quot;&quot;" command="SELECT * FROM [datos_compra (2)]"/>
  </connection>
  <connection id="6" xr16:uid="{760CEF86-2C25-4C6F-8A68-E1F34AB526AE}" keepAlive="1" name="Consulta - datos_limpios_compra" description="Conexión a la consulta 'datos_limpios_compra' en el libro." type="5" refreshedVersion="0" background="1">
    <dbPr connection="Provider=Microsoft.Mashup.OleDb.1;Data Source=$Workbook$;Location=datos_limpios_compra;Extended Properties=&quot;&quot;" command="SELECT * FROM [datos_limpios_compra]"/>
  </connection>
  <connection id="7" xr16:uid="{41AECE75-E3A6-4222-BB66-54D7469A8FDF}" keepAlive="1" name="Consulta - datos_limpios_compra (2)" description="Conexión a la consulta 'datos_limpios_compra (2)' en el libro." type="5" refreshedVersion="0" background="1">
    <dbPr connection="Provider=Microsoft.Mashup.OleDb.1;Data Source=$Workbook$;Location=&quot;datos_limpios_compra (2)&quot;;Extended Properties=&quot;&quot;" command="SELECT * FROM [datos_limpios_compra (2)]"/>
  </connection>
  <connection id="8" xr16:uid="{583CA31B-B067-4231-9310-F504D41823E4}" keepAlive="1" name="Consulta - datos_limpios_compra (3)" description="Conexión a la consulta 'datos_limpios_compra (3)' en el libro." type="5" refreshedVersion="0" background="1">
    <dbPr connection="Provider=Microsoft.Mashup.OleDb.1;Data Source=$Workbook$;Location=&quot;datos_limpios_compra (3)&quot;;Extended Properties=&quot;&quot;" command="SELECT * FROM [datos_limpios_compra (3)]"/>
  </connection>
  <connection id="9" xr16:uid="{581351F1-9268-4BC8-A837-6A24A53143AA}" keepAlive="1" name="Consulta - datos_unificados_alquiler" description="Conexión a la consulta 'datos_unificados_alquiler' en el libro." type="5" refreshedVersion="0" background="1">
    <dbPr connection="Provider=Microsoft.Mashup.OleDb.1;Data Source=$Workbook$;Location=datos_unificados_alquiler;Extended Properties=&quot;&quot;" command="SELECT * FROM [datos_unificados_alquiler]"/>
  </connection>
  <connection id="10" xr16:uid="{D54DF266-13B2-49F4-9A4E-D2E681E33149}" keepAlive="1" name="Consulta - datos_unificados_compra" description="Conexión a la consulta 'datos_unificados_compra' en el libro." type="5" refreshedVersion="0" background="1">
    <dbPr connection="Provider=Microsoft.Mashup.OleDb.1;Data Source=$Workbook$;Location=datos_unificados_compra;Extended Properties=&quot;&quot;" command="SELECT * FROM [datos_unificados_compra]"/>
  </connection>
</connections>
</file>

<file path=xl/sharedStrings.xml><?xml version="1.0" encoding="utf-8"?>
<sst xmlns="http://schemas.openxmlformats.org/spreadsheetml/2006/main" count="2564" uniqueCount="160">
  <si>
    <t>Etiquetas de fila</t>
  </si>
  <si>
    <t>BENALMADENA</t>
  </si>
  <si>
    <t>CENTRO</t>
  </si>
  <si>
    <t>ESTEPONA</t>
  </si>
  <si>
    <t>FUENGIROLA</t>
  </si>
  <si>
    <t>MARBELLA</t>
  </si>
  <si>
    <t>TORREMOLINOS</t>
  </si>
  <si>
    <t>Total general</t>
  </si>
  <si>
    <t>Sevilla</t>
  </si>
  <si>
    <t>Mairena del Aljarafe</t>
  </si>
  <si>
    <t>Bormujos</t>
  </si>
  <si>
    <t>Tomares</t>
  </si>
  <si>
    <t>Castilleja de la cuesta</t>
  </si>
  <si>
    <t>San Juan de Aznalfarache</t>
  </si>
  <si>
    <t>Gines</t>
  </si>
  <si>
    <t>Gelves</t>
  </si>
  <si>
    <t>Montequinto</t>
  </si>
  <si>
    <t>Dos Hermanas</t>
  </si>
  <si>
    <t>Castilleja de Guzman</t>
  </si>
  <si>
    <t>Valencina de la Concepción</t>
  </si>
  <si>
    <t>Centro</t>
  </si>
  <si>
    <t>Majadahonda</t>
  </si>
  <si>
    <t>Collado Villalba</t>
  </si>
  <si>
    <t>Villanueva de la Cañada</t>
  </si>
  <si>
    <t>Pedrezuela</t>
  </si>
  <si>
    <t>San Sebastián de los Reyes</t>
  </si>
  <si>
    <t>Valdetorres de Jarama</t>
  </si>
  <si>
    <t>La Moraleja</t>
  </si>
  <si>
    <t>Ciudalcampo</t>
  </si>
  <si>
    <t>Talamanca de Jarama</t>
  </si>
  <si>
    <t>San Agustin de Guadalix</t>
  </si>
  <si>
    <t>Fuente el Saz de Jarama</t>
  </si>
  <si>
    <t>Miraflores de la Sierra</t>
  </si>
  <si>
    <t>Colmenar Viejo</t>
  </si>
  <si>
    <t>Club de Campo</t>
  </si>
  <si>
    <t>Buitrago del Lozoya</t>
  </si>
  <si>
    <t>Tres Cantos</t>
  </si>
  <si>
    <t>Valdelagua</t>
  </si>
  <si>
    <t>Cobeña</t>
  </si>
  <si>
    <t>Fuente del Fresno</t>
  </si>
  <si>
    <t>Santo Domingo</t>
  </si>
  <si>
    <t>Venturada</t>
  </si>
  <si>
    <t>Cotos de Monterrey</t>
  </si>
  <si>
    <t>Guadalix de la Sierra</t>
  </si>
  <si>
    <t>Algete</t>
  </si>
  <si>
    <t>Ajalvir</t>
  </si>
  <si>
    <t>Valdeavero</t>
  </si>
  <si>
    <t>El Molar</t>
  </si>
  <si>
    <t>Paracuellos de Jarama</t>
  </si>
  <si>
    <t>Valdeolmos-Alalpardo</t>
  </si>
  <si>
    <t>Valdemanco</t>
  </si>
  <si>
    <t>El Vellón</t>
  </si>
  <si>
    <t>Alcobendas</t>
  </si>
  <si>
    <t>Manzanares el Real</t>
  </si>
  <si>
    <t>Soto del Real</t>
  </si>
  <si>
    <t>Puebla de la Sierra</t>
  </si>
  <si>
    <t>La Cabrera</t>
  </si>
  <si>
    <t>Torrelaguna</t>
  </si>
  <si>
    <t>Bustarviejo</t>
  </si>
  <si>
    <t>habitaciones</t>
  </si>
  <si>
    <t>baños</t>
  </si>
  <si>
    <t>Madrid</t>
  </si>
  <si>
    <t>Pozuelo de Alarcón</t>
  </si>
  <si>
    <t>Las Rozas de Madrid</t>
  </si>
  <si>
    <t>Ascensor</t>
  </si>
  <si>
    <t>Madrid capital</t>
  </si>
  <si>
    <t>Piso</t>
  </si>
  <si>
    <t>Casa</t>
  </si>
  <si>
    <t>Torrelodones</t>
  </si>
  <si>
    <t>Navalafuente</t>
  </si>
  <si>
    <t>Serracines</t>
  </si>
  <si>
    <t>Rascafría</t>
  </si>
  <si>
    <t>Patones</t>
  </si>
  <si>
    <t>Ribatejada</t>
  </si>
  <si>
    <t>Torremocha de Jarama</t>
  </si>
  <si>
    <t>Daganzo de Arriba</t>
  </si>
  <si>
    <t>Cabanillas de la Sierra</t>
  </si>
  <si>
    <t>Gargantilla del Lozoya</t>
  </si>
  <si>
    <t>El Berrueco</t>
  </si>
  <si>
    <t>Puentes Viejas</t>
  </si>
  <si>
    <t>Lozoyuela-Navas-Sieteiglesias</t>
  </si>
  <si>
    <t>Horcajo de la Sierra</t>
  </si>
  <si>
    <t>Cervera de Buitrago</t>
  </si>
  <si>
    <t>Alameda del Valle</t>
  </si>
  <si>
    <t>Pinilla del Valle</t>
  </si>
  <si>
    <t>Municipio</t>
  </si>
  <si>
    <t>%</t>
  </si>
  <si>
    <t>Camas</t>
  </si>
  <si>
    <t>Palomares del rio</t>
  </si>
  <si>
    <t>Ciudad</t>
  </si>
  <si>
    <t>Total compra</t>
  </si>
  <si>
    <t>Total alquiler</t>
  </si>
  <si>
    <t>Benalmadena</t>
  </si>
  <si>
    <t>3+</t>
  </si>
  <si>
    <t>Ascensor no</t>
  </si>
  <si>
    <t>N/A</t>
  </si>
  <si>
    <t>Pisos</t>
  </si>
  <si>
    <t>Estepona</t>
  </si>
  <si>
    <t>Fuengirola</t>
  </si>
  <si>
    <t>Marbella</t>
  </si>
  <si>
    <t>Maarbella</t>
  </si>
  <si>
    <t>Torremolinos</t>
  </si>
  <si>
    <t>Tipo vienda</t>
  </si>
  <si>
    <t>Garaje</t>
  </si>
  <si>
    <t>Si</t>
  </si>
  <si>
    <t>No</t>
  </si>
  <si>
    <t>Pago</t>
  </si>
  <si>
    <t>Compra</t>
  </si>
  <si>
    <t>Alquiler</t>
  </si>
  <si>
    <t>Salario minimo 2023</t>
  </si>
  <si>
    <t>Salario mediana Andalucia 2023</t>
  </si>
  <si>
    <t>Salario mediana madrid 2023</t>
  </si>
  <si>
    <t>Salario mediana Andalucia 2025</t>
  </si>
  <si>
    <t>Salario mediana madrid 2025</t>
  </si>
  <si>
    <t>Con un incremento de 5%</t>
  </si>
  <si>
    <t>Hipoteca</t>
  </si>
  <si>
    <t>Malaga</t>
  </si>
  <si>
    <t>Castilleja de la Cuesta</t>
  </si>
  <si>
    <t>Palomares del Rio</t>
  </si>
  <si>
    <t>Valencina de Concepción</t>
  </si>
  <si>
    <t>Ascensor si</t>
  </si>
  <si>
    <t>Castilleja de guzman</t>
  </si>
  <si>
    <t>Vivienda</t>
  </si>
  <si>
    <t>La moraleja</t>
  </si>
  <si>
    <t>Las Rozas</t>
  </si>
  <si>
    <t>Madrid Capital</t>
  </si>
  <si>
    <t>Municipios</t>
  </si>
  <si>
    <t>Mes</t>
  </si>
  <si>
    <t>Año</t>
  </si>
  <si>
    <t>Pozuelo de Alarcon</t>
  </si>
  <si>
    <t>San Sebastian de los Reyes</t>
  </si>
  <si>
    <t>-</t>
  </si>
  <si>
    <t>Andalucia</t>
  </si>
  <si>
    <t>Incremento salaria</t>
  </si>
  <si>
    <t>Promedio de Precio</t>
  </si>
  <si>
    <t>Etiquetas de columna</t>
  </si>
  <si>
    <t>pre</t>
  </si>
  <si>
    <t>post</t>
  </si>
  <si>
    <t>Precio</t>
  </si>
  <si>
    <t>% M</t>
  </si>
  <si>
    <t>% A</t>
  </si>
  <si>
    <t>% S</t>
  </si>
  <si>
    <t>Variación anual %</t>
  </si>
  <si>
    <t>Variación desde 2009</t>
  </si>
  <si>
    <t>Variacion % desde 2015</t>
  </si>
  <si>
    <t>% del total descargado</t>
  </si>
  <si>
    <t>Nº descargado</t>
  </si>
  <si>
    <t>Nº publicado</t>
  </si>
  <si>
    <t>% de lo publicado</t>
  </si>
  <si>
    <t>Madrid - Alquiler</t>
  </si>
  <si>
    <t>Madrid - Compra</t>
  </si>
  <si>
    <t>Malaga - Alquiler</t>
  </si>
  <si>
    <t>Malaga - Compra</t>
  </si>
  <si>
    <t>Sevilla - Compra</t>
  </si>
  <si>
    <t>Sevilla - Alquiler</t>
  </si>
  <si>
    <t>1 - Habit</t>
  </si>
  <si>
    <t>2 - Habit</t>
  </si>
  <si>
    <t>3 - Habit</t>
  </si>
  <si>
    <t>Entrada</t>
  </si>
  <si>
    <t>Estimación del aumento del salario en el año 2024 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</si>
</sst>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%"/>
    <numFmt numFmtId="166" formatCode="_-* #,##0.0_-;\-* #,##0.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EE0BE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pivotButton="1"/>
    <xf numFmtId="9" fontId="0" fillId="0" borderId="0" xfId="1" applyFont="1"/>
    <xf numFmtId="1" fontId="0" fillId="0" borderId="0" xfId="0" applyNumberFormat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9" fontId="0" fillId="0" borderId="1" xfId="1" applyFont="1" applyBorder="1" applyAlignment="1">
      <alignment horizontal="center" vertical="center"/>
    </xf>
    <xf numFmtId="0" fontId="5" fillId="0" borderId="0" xfId="0" applyFont="1"/>
    <xf numFmtId="9" fontId="0" fillId="0" borderId="1" xfId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9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left"/>
    </xf>
    <xf numFmtId="17" fontId="0" fillId="0" borderId="0" xfId="0" applyNumberFormat="1" applyAlignment="1">
      <alignment horizontal="left"/>
    </xf>
    <xf numFmtId="3" fontId="0" fillId="0" borderId="0" xfId="0" applyNumberFormat="1"/>
    <xf numFmtId="17" fontId="0" fillId="0" borderId="0" xfId="0" applyNumberFormat="1"/>
    <xf numFmtId="0" fontId="0" fillId="4" borderId="5" xfId="0" applyFill="1" applyBorder="1"/>
    <xf numFmtId="0" fontId="0" fillId="3" borderId="1" xfId="0" applyFill="1" applyBorder="1"/>
    <xf numFmtId="0" fontId="6" fillId="0" borderId="0" xfId="0" applyFont="1" applyAlignment="1">
      <alignment vertical="center"/>
    </xf>
    <xf numFmtId="9" fontId="2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9" fontId="2" fillId="5" borderId="1" xfId="1" applyFont="1" applyFill="1" applyBorder="1" applyAlignment="1">
      <alignment horizontal="center"/>
    </xf>
    <xf numFmtId="165" fontId="2" fillId="5" borderId="1" xfId="1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165" fontId="8" fillId="5" borderId="1" xfId="1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textRotation="135"/>
    </xf>
    <xf numFmtId="0" fontId="2" fillId="3" borderId="3" xfId="0" applyFont="1" applyFill="1" applyBorder="1" applyAlignment="1">
      <alignment horizontal="center" vertical="center" textRotation="135"/>
    </xf>
    <xf numFmtId="0" fontId="2" fillId="3" borderId="4" xfId="0" applyFont="1" applyFill="1" applyBorder="1" applyAlignment="1">
      <alignment horizontal="center" vertical="center" textRotation="135"/>
    </xf>
    <xf numFmtId="0" fontId="4" fillId="2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EE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914400</xdr:colOff>
      <xdr:row>0</xdr:row>
      <xdr:rowOff>47625</xdr:rowOff>
    </xdr:from>
    <xdr:ext cx="1828800" cy="266700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iudad 2">
              <a:extLst>
                <a:ext uri="{FF2B5EF4-FFF2-40B4-BE49-F238E27FC236}">
                  <a16:creationId xmlns:a16="http://schemas.microsoft.com/office/drawing/2014/main" id="{4C212692-D28C-4815-902C-0ACD370B76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2175" y="476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4</xdr:col>
      <xdr:colOff>238125</xdr:colOff>
      <xdr:row>0</xdr:row>
      <xdr:rowOff>9525</xdr:rowOff>
    </xdr:from>
    <xdr:ext cx="1828800" cy="449580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s (Mes) 2">
              <a:extLst>
                <a:ext uri="{FF2B5EF4-FFF2-40B4-BE49-F238E27FC236}">
                  <a16:creationId xmlns:a16="http://schemas.microsoft.com/office/drawing/2014/main" id="{C8BD5C6D-5BF2-4B19-8E4C-2F4D036207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Mes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2925" y="9525"/>
              <a:ext cx="1828800" cy="449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15</xdr:col>
      <xdr:colOff>457200</xdr:colOff>
      <xdr:row>14</xdr:row>
      <xdr:rowOff>133350</xdr:rowOff>
    </xdr:from>
    <xdr:ext cx="1828800" cy="266700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iudad 3">
              <a:extLst>
                <a:ext uri="{FF2B5EF4-FFF2-40B4-BE49-F238E27FC236}">
                  <a16:creationId xmlns:a16="http://schemas.microsoft.com/office/drawing/2014/main" id="{D90C8CB8-FD4B-4177-91B6-FBD493547C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20625" y="28003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21</xdr:col>
      <xdr:colOff>47625</xdr:colOff>
      <xdr:row>4</xdr:row>
      <xdr:rowOff>114300</xdr:rowOff>
    </xdr:from>
    <xdr:ext cx="1828800" cy="440055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ños (Mes) 3">
              <a:extLst>
                <a:ext uri="{FF2B5EF4-FFF2-40B4-BE49-F238E27FC236}">
                  <a16:creationId xmlns:a16="http://schemas.microsoft.com/office/drawing/2014/main" id="{EA5536E6-79CA-4C2E-AD05-1B85F42BA8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Mes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54250" y="876300"/>
              <a:ext cx="1828800" cy="4400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uenta%20numero%20vivienda%20ciuda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obo Pérez" refreshedDate="45936.686337847219" createdVersion="8" refreshedVersion="8" minRefreshableVersion="3" recordCount="694" xr:uid="{5479A3DF-F40C-4AAC-9F71-7E0EDC26086B}">
  <cacheSource type="worksheet">
    <worksheetSource ref="D1:F695" sheet="Evolutivo" r:id="rId2"/>
  </cacheSource>
  <cacheFields count="6">
    <cacheField name="Mes" numFmtId="17">
      <sharedItems containsSemiMixedTypes="0" containsNonDate="0" containsDate="1" containsString="0" minDate="2006-01-01T00:00:00" maxDate="2025-09-02T00:00:00" count="237">
        <d v="2025-09-01T00:00:00"/>
        <d v="2025-08-01T00:00:00"/>
        <d v="2025-07-01T00:00:00"/>
        <d v="2025-06-01T00:00:00"/>
        <d v="2025-05-01T00:00:00"/>
        <d v="2025-04-01T00:00:00"/>
        <d v="2025-03-01T00:00:00"/>
        <d v="2025-02-01T00:00:00"/>
        <d v="2025-01-01T00:00:00"/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00:00:00"/>
        <d v="2022-12-01T00:00:00"/>
        <d v="2022-11-01T00:00:00"/>
        <d v="2022-10-01T00:00:00"/>
        <d v="2022-09-01T00:00:00"/>
        <d v="2022-08-01T00:00:00"/>
        <d v="2022-07-01T00:00:00"/>
        <d v="2022-06-01T00:00:00"/>
        <d v="2022-05-01T00:00:00"/>
        <d v="2022-04-01T00:00:00"/>
        <d v="2022-03-01T00:00:00"/>
        <d v="2022-02-01T00:00:00"/>
        <d v="2022-01-01T00:00:00"/>
        <d v="2021-12-01T00:00:00"/>
        <d v="2021-11-01T00:00:00"/>
        <d v="2021-10-01T00:00:00"/>
        <d v="2021-09-01T00:00:00"/>
        <d v="2021-08-01T00:00:00"/>
        <d v="2021-07-01T00:00:00"/>
        <d v="2021-06-01T00:00:00"/>
        <d v="2021-05-01T00:00:00"/>
        <d v="2021-04-01T00:00:00"/>
        <d v="2021-03-01T00:00:00"/>
        <d v="2021-02-01T00:00:00"/>
        <d v="2021-01-01T00:00:00"/>
        <d v="2020-12-01T00:00:00"/>
        <d v="2020-11-01T00:00:00"/>
        <d v="2020-10-01T00:00:00"/>
        <d v="2020-09-01T00:00:00"/>
        <d v="2020-08-01T00:00:00"/>
        <d v="2020-07-01T00:00:00"/>
        <d v="2020-06-01T00:00:00"/>
        <d v="2020-05-01T00:00:00"/>
        <d v="2020-04-01T00:00:00"/>
        <d v="2020-03-01T00:00:00"/>
        <d v="2020-02-01T00:00:00"/>
        <d v="2020-01-01T00:00:00"/>
        <d v="2019-12-01T00:00:00"/>
        <d v="2019-11-01T00:00:00"/>
        <d v="2019-10-01T00:00:00"/>
        <d v="2019-09-01T00:00:00"/>
        <d v="2019-08-01T00:00:00"/>
        <d v="2019-07-01T00:00:00"/>
        <d v="2019-06-01T00:00:00"/>
        <d v="2019-05-01T00:00:00"/>
        <d v="2019-04-01T00:00:00"/>
        <d v="2019-03-01T00:00:00"/>
        <d v="2019-02-01T00:00:00"/>
        <d v="2019-01-01T00:00:00"/>
        <d v="2018-12-01T00:00:00"/>
        <d v="2018-11-01T00:00:00"/>
        <d v="2018-10-01T00:00:00"/>
        <d v="2018-09-01T00:00:00"/>
        <d v="2018-08-01T00:00:00"/>
        <d v="2018-07-01T00:00:00"/>
        <d v="2018-06-01T00:00:00"/>
        <d v="2018-05-01T00:00:00"/>
        <d v="2018-04-01T00:00:00"/>
        <d v="2018-03-01T00:00:00"/>
        <d v="2018-02-01T00:00:00"/>
        <d v="2018-01-01T00:00:00"/>
        <d v="2017-12-01T00:00:00"/>
        <d v="2017-11-01T00:00:00"/>
        <d v="2017-10-01T00:00:00"/>
        <d v="2017-09-01T00:00:00"/>
        <d v="2017-08-01T00:00:00"/>
        <d v="2017-07-01T00:00:00"/>
        <d v="2017-06-01T00:00:00"/>
        <d v="2017-05-01T00:00:00"/>
        <d v="2017-04-01T00:00:00"/>
        <d v="2017-03-01T00:00:00"/>
        <d v="2017-02-01T00:00:00"/>
        <d v="2017-01-01T00:00:00"/>
        <d v="2016-12-01T00:00:00"/>
        <d v="2016-11-01T00:00:00"/>
        <d v="2016-10-01T00:00:00"/>
        <d v="2016-09-01T00:00:00"/>
        <d v="2016-08-01T00:00:00"/>
        <d v="2016-07-01T00:00:00"/>
        <d v="2016-06-01T00:00:00"/>
        <d v="2016-05-01T00:00:00"/>
        <d v="2016-04-01T00:00:00"/>
        <d v="2016-03-01T00:00:00"/>
        <d v="2016-02-01T00:00:00"/>
        <d v="2016-01-01T00:00:00"/>
        <d v="2015-12-01T00:00:00"/>
        <d v="2015-11-01T00:00:00"/>
        <d v="2015-10-01T00:00:00"/>
        <d v="2015-09-01T00:00:00"/>
        <d v="2015-08-01T00:00:00"/>
        <d v="2015-07-01T00:00:00"/>
        <d v="2015-06-01T00:00:00"/>
        <d v="2015-05-01T00:00:00"/>
        <d v="2015-04-01T00:00:00"/>
        <d v="2015-03-01T00:00:00"/>
        <d v="2015-02-01T00:00:00"/>
        <d v="2015-01-01T00:00:00"/>
        <d v="2014-12-01T00:00:00"/>
        <d v="2014-11-01T00:00:00"/>
        <d v="2014-10-01T00:00:00"/>
        <d v="2014-09-01T00:00:00"/>
        <d v="2014-08-01T00:00:00"/>
        <d v="2014-07-01T00:00:00"/>
        <d v="2014-06-01T00:00:00"/>
        <d v="2014-05-01T00:00:00"/>
        <d v="2014-04-01T00:00:00"/>
        <d v="2014-03-01T00:00:00"/>
        <d v="2014-02-01T00:00:00"/>
        <d v="2014-01-01T00:00:00"/>
        <d v="2013-12-01T00:00:00"/>
        <d v="2013-11-01T00:00:00"/>
        <d v="2013-10-01T00:00:00"/>
        <d v="2013-09-01T00:00:00"/>
        <d v="2013-08-01T00:00:00"/>
        <d v="2013-07-01T00:00:00"/>
        <d v="2013-06-01T00:00:00"/>
        <d v="2013-05-01T00:00:00"/>
        <d v="2013-04-01T00:00:00"/>
        <d v="2013-03-01T00:00:00"/>
        <d v="2013-02-01T00:00:00"/>
        <d v="2013-01-01T00:00:00"/>
        <d v="2012-12-01T00:00:00"/>
        <d v="2012-11-01T00:00:00"/>
        <d v="2012-10-01T00:00:00"/>
        <d v="2012-09-01T00:00:00"/>
        <d v="2012-08-01T00:00:00"/>
        <d v="2012-07-01T00:00:00"/>
        <d v="2012-06-01T00:00:00"/>
        <d v="2012-05-01T00:00:00"/>
        <d v="2012-04-01T00:00:00"/>
        <d v="2012-03-01T00:00:00"/>
        <d v="2012-02-01T00:00:00"/>
        <d v="2012-01-01T00:00:00"/>
        <d v="2011-12-01T00:00:00"/>
        <d v="2011-11-01T00:00:00"/>
        <d v="2011-10-01T00:00:00"/>
        <d v="2011-09-01T00:00:00"/>
        <d v="2011-08-01T00:00:00"/>
        <d v="2011-07-01T00:00:00"/>
        <d v="2011-06-01T00:00:00"/>
        <d v="2011-05-01T00:00:00"/>
        <d v="2011-04-01T00:00:00"/>
        <d v="2011-03-01T00:00:00"/>
        <d v="2011-02-01T00:00:00"/>
        <d v="2011-01-01T00:00:00"/>
        <d v="2010-12-01T00:00:00"/>
        <d v="2010-11-01T00:00:00"/>
        <d v="2010-10-01T00:00:00"/>
        <d v="2010-09-01T00:00:00"/>
        <d v="2010-08-01T00:00:00"/>
        <d v="2010-07-01T00:00:00"/>
        <d v="2010-06-01T00:00:00"/>
        <d v="2010-05-01T00:00:00"/>
        <d v="2010-04-01T00:00:00"/>
        <d v="2010-03-01T00:00:00"/>
        <d v="2010-02-01T00:00:00"/>
        <d v="2010-01-01T00:00:00"/>
        <d v="2009-12-01T00:00:00"/>
        <d v="2009-11-01T00:00:00"/>
        <d v="2009-10-01T00:00:00"/>
        <d v="2009-09-01T00:00:00"/>
        <d v="2009-08-01T00:00:00"/>
        <d v="2009-07-01T00:00:00"/>
        <d v="2009-06-01T00:00:00"/>
        <d v="2009-05-01T00:00:00"/>
        <d v="2009-04-01T00:00:00"/>
        <d v="2009-03-01T00:00:00"/>
        <d v="2009-02-01T00:00:00"/>
        <d v="2009-01-01T00:00:00"/>
        <d v="2008-12-01T00:00:00"/>
        <d v="2008-11-01T00:00:00"/>
        <d v="2008-10-01T00:00:00"/>
        <d v="2008-09-01T00:00:00"/>
        <d v="2008-08-01T00:00:00"/>
        <d v="2008-07-01T00:00:00"/>
        <d v="2008-06-01T00:00:00"/>
        <d v="2008-05-01T00:00:00"/>
        <d v="2008-04-01T00:00:00"/>
        <d v="2008-03-01T00:00:00"/>
        <d v="2008-02-01T00:00:00"/>
        <d v="2008-01-01T00:00:00"/>
        <d v="2007-12-01T00:00:00"/>
        <d v="2007-11-01T00:00:00"/>
        <d v="2007-10-01T00:00:00"/>
        <d v="2007-09-01T00:00:00"/>
        <d v="2007-08-01T00:00:00"/>
        <d v="2007-07-01T00:00:00"/>
        <d v="2007-06-01T00:00:00"/>
        <d v="2007-05-01T00:00:00"/>
        <d v="2007-04-01T00:00:00"/>
        <d v="2007-03-01T00:00:00"/>
        <d v="2007-02-01T00:00:00"/>
        <d v="2007-01-01T00:00:00"/>
        <d v="2006-12-01T00:00:00"/>
        <d v="2006-11-01T00:00:00"/>
        <d v="2006-10-01T00:00:00"/>
        <d v="2006-09-01T00:00:00"/>
        <d v="2006-08-01T00:00:00"/>
        <d v="2006-07-01T00:00:00"/>
        <d v="2006-06-01T00:00:00"/>
        <d v="2006-05-01T00:00:00"/>
        <d v="2006-04-01T00:00:00"/>
        <d v="2006-03-01T00:00:00"/>
        <d v="2006-02-01T00:00:00"/>
        <d v="2006-01-01T00:00:00"/>
      </sharedItems>
      <fieldGroup par="5"/>
    </cacheField>
    <cacheField name="Precio" numFmtId="3">
      <sharedItems containsSemiMixedTypes="0" containsString="0" containsNumber="1" containsInteger="1" minValue="1575" maxValue="4384"/>
    </cacheField>
    <cacheField name="Ciudad" numFmtId="0">
      <sharedItems count="3">
        <s v="Malaga"/>
        <s v="Sevilla"/>
        <s v="Madrid"/>
      </sharedItems>
    </cacheField>
    <cacheField name="Meses (Mes)" numFmtId="0" databaseField="0">
      <fieldGroup base="0">
        <rangePr groupBy="months" startDate="2006-01-01T00:00:00" endDate="2025-09-02T00:00:00"/>
        <groupItems count="14">
          <s v="&lt;01/01/200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9/2025"/>
        </groupItems>
      </fieldGroup>
    </cacheField>
    <cacheField name="Trimestres (Mes)" numFmtId="0" databaseField="0">
      <fieldGroup base="0">
        <rangePr groupBy="quarters" startDate="2006-01-01T00:00:00" endDate="2025-09-02T00:00:00"/>
        <groupItems count="6">
          <s v="&lt;01/01/2006"/>
          <s v="Trim.1"/>
          <s v="Trim.2"/>
          <s v="Trim.3"/>
          <s v="Trim.4"/>
          <s v="&gt;02/09/2025"/>
        </groupItems>
      </fieldGroup>
    </cacheField>
    <cacheField name="Años (Mes)" numFmtId="0" databaseField="0">
      <fieldGroup base="0">
        <rangePr groupBy="years" startDate="2006-01-01T00:00:00" endDate="2025-09-02T00:00:00"/>
        <groupItems count="22">
          <s v="&lt;01/01/2006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2/09/2025"/>
        </groupItems>
      </fieldGroup>
    </cacheField>
  </cacheFields>
  <extLst>
    <ext xmlns:x14="http://schemas.microsoft.com/office/spreadsheetml/2009/9/main" uri="{725AE2AE-9491-48be-B2B4-4EB974FC3084}">
      <x14:pivotCacheDefinition pivotCacheId="4041998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4">
  <r>
    <x v="0"/>
    <n v="3982"/>
    <x v="0"/>
  </r>
  <r>
    <x v="1"/>
    <n v="3842"/>
    <x v="0"/>
  </r>
  <r>
    <x v="2"/>
    <n v="3794"/>
    <x v="0"/>
  </r>
  <r>
    <x v="3"/>
    <n v="3775"/>
    <x v="0"/>
  </r>
  <r>
    <x v="4"/>
    <n v="3718"/>
    <x v="0"/>
  </r>
  <r>
    <x v="5"/>
    <n v="3671"/>
    <x v="0"/>
  </r>
  <r>
    <x v="6"/>
    <n v="3615"/>
    <x v="0"/>
  </r>
  <r>
    <x v="7"/>
    <n v="3566"/>
    <x v="0"/>
  </r>
  <r>
    <x v="8"/>
    <n v="3522"/>
    <x v="0"/>
  </r>
  <r>
    <x v="9"/>
    <n v="3507"/>
    <x v="0"/>
  </r>
  <r>
    <x v="10"/>
    <n v="3468"/>
    <x v="0"/>
  </r>
  <r>
    <x v="11"/>
    <n v="3436"/>
    <x v="0"/>
  </r>
  <r>
    <x v="12"/>
    <n v="3397"/>
    <x v="0"/>
  </r>
  <r>
    <x v="13"/>
    <n v="3377"/>
    <x v="0"/>
  </r>
  <r>
    <x v="14"/>
    <n v="3325"/>
    <x v="0"/>
  </r>
  <r>
    <x v="15"/>
    <n v="3282"/>
    <x v="0"/>
  </r>
  <r>
    <x v="16"/>
    <n v="3226"/>
    <x v="0"/>
  </r>
  <r>
    <x v="17"/>
    <n v="3179"/>
    <x v="0"/>
  </r>
  <r>
    <x v="18"/>
    <n v="3143"/>
    <x v="0"/>
  </r>
  <r>
    <x v="19"/>
    <n v="3113"/>
    <x v="0"/>
  </r>
  <r>
    <x v="20"/>
    <n v="3099"/>
    <x v="0"/>
  </r>
  <r>
    <x v="21"/>
    <n v="3079"/>
    <x v="0"/>
  </r>
  <r>
    <x v="22"/>
    <n v="3051"/>
    <x v="0"/>
  </r>
  <r>
    <x v="23"/>
    <n v="3049"/>
    <x v="0"/>
  </r>
  <r>
    <x v="24"/>
    <n v="3037"/>
    <x v="0"/>
  </r>
  <r>
    <x v="25"/>
    <n v="3002"/>
    <x v="0"/>
  </r>
  <r>
    <x v="26"/>
    <n v="2964"/>
    <x v="0"/>
  </r>
  <r>
    <x v="27"/>
    <n v="2949"/>
    <x v="0"/>
  </r>
  <r>
    <x v="28"/>
    <n v="2918"/>
    <x v="0"/>
  </r>
  <r>
    <x v="29"/>
    <n v="2889"/>
    <x v="0"/>
  </r>
  <r>
    <x v="30"/>
    <n v="2849"/>
    <x v="0"/>
  </r>
  <r>
    <x v="31"/>
    <n v="2829"/>
    <x v="0"/>
  </r>
  <r>
    <x v="32"/>
    <n v="2798"/>
    <x v="0"/>
  </r>
  <r>
    <x v="33"/>
    <n v="2766"/>
    <x v="0"/>
  </r>
  <r>
    <x v="34"/>
    <n v="2756"/>
    <x v="0"/>
  </r>
  <r>
    <x v="35"/>
    <n v="2747"/>
    <x v="0"/>
  </r>
  <r>
    <x v="36"/>
    <n v="2722"/>
    <x v="0"/>
  </r>
  <r>
    <x v="37"/>
    <n v="2687"/>
    <x v="0"/>
  </r>
  <r>
    <x v="38"/>
    <n v="2651"/>
    <x v="0"/>
  </r>
  <r>
    <x v="39"/>
    <n v="2618"/>
    <x v="0"/>
  </r>
  <r>
    <x v="40"/>
    <n v="2589"/>
    <x v="0"/>
  </r>
  <r>
    <x v="41"/>
    <n v="2543"/>
    <x v="0"/>
  </r>
  <r>
    <x v="42"/>
    <n v="2503"/>
    <x v="0"/>
  </r>
  <r>
    <x v="43"/>
    <n v="2481"/>
    <x v="0"/>
  </r>
  <r>
    <x v="44"/>
    <n v="2463"/>
    <x v="0"/>
  </r>
  <r>
    <x v="45"/>
    <n v="2446"/>
    <x v="0"/>
  </r>
  <r>
    <x v="46"/>
    <n v="2438"/>
    <x v="0"/>
  </r>
  <r>
    <x v="47"/>
    <n v="2442"/>
    <x v="0"/>
  </r>
  <r>
    <x v="48"/>
    <n v="2418"/>
    <x v="0"/>
  </r>
  <r>
    <x v="49"/>
    <n v="2402"/>
    <x v="0"/>
  </r>
  <r>
    <x v="50"/>
    <n v="2385"/>
    <x v="0"/>
  </r>
  <r>
    <x v="51"/>
    <n v="2367"/>
    <x v="0"/>
  </r>
  <r>
    <x v="52"/>
    <n v="2324"/>
    <x v="0"/>
  </r>
  <r>
    <x v="53"/>
    <n v="2308"/>
    <x v="0"/>
  </r>
  <r>
    <x v="54"/>
    <n v="2298"/>
    <x v="0"/>
  </r>
  <r>
    <x v="55"/>
    <n v="2274"/>
    <x v="0"/>
  </r>
  <r>
    <x v="56"/>
    <n v="2280"/>
    <x v="0"/>
  </r>
  <r>
    <x v="57"/>
    <n v="2268"/>
    <x v="0"/>
  </r>
  <r>
    <x v="58"/>
    <n v="2259"/>
    <x v="0"/>
  </r>
  <r>
    <x v="59"/>
    <n v="2253"/>
    <x v="0"/>
  </r>
  <r>
    <x v="60"/>
    <n v="2238"/>
    <x v="0"/>
  </r>
  <r>
    <x v="61"/>
    <n v="2233"/>
    <x v="0"/>
  </r>
  <r>
    <x v="62"/>
    <n v="2218"/>
    <x v="0"/>
  </r>
  <r>
    <x v="63"/>
    <n v="2234"/>
    <x v="0"/>
  </r>
  <r>
    <x v="64"/>
    <n v="2245"/>
    <x v="0"/>
  </r>
  <r>
    <x v="65"/>
    <n v="2222"/>
    <x v="0"/>
  </r>
  <r>
    <x v="66"/>
    <n v="2215"/>
    <x v="0"/>
  </r>
  <r>
    <x v="67"/>
    <n v="2207"/>
    <x v="0"/>
  </r>
  <r>
    <x v="68"/>
    <n v="2208"/>
    <x v="0"/>
  </r>
  <r>
    <x v="69"/>
    <n v="2191"/>
    <x v="0"/>
  </r>
  <r>
    <x v="70"/>
    <n v="2184"/>
    <x v="0"/>
  </r>
  <r>
    <x v="71"/>
    <n v="2166"/>
    <x v="0"/>
  </r>
  <r>
    <x v="72"/>
    <n v="2150"/>
    <x v="0"/>
  </r>
  <r>
    <x v="73"/>
    <n v="2139"/>
    <x v="0"/>
  </r>
  <r>
    <x v="74"/>
    <n v="2133"/>
    <x v="0"/>
  </r>
  <r>
    <x v="75"/>
    <n v="2116"/>
    <x v="0"/>
  </r>
  <r>
    <x v="76"/>
    <n v="2092"/>
    <x v="0"/>
  </r>
  <r>
    <x v="77"/>
    <n v="2076"/>
    <x v="0"/>
  </r>
  <r>
    <x v="78"/>
    <n v="2065"/>
    <x v="0"/>
  </r>
  <r>
    <x v="79"/>
    <n v="2052"/>
    <x v="0"/>
  </r>
  <r>
    <x v="80"/>
    <n v="2029"/>
    <x v="0"/>
  </r>
  <r>
    <x v="81"/>
    <n v="2031"/>
    <x v="0"/>
  </r>
  <r>
    <x v="82"/>
    <n v="2028"/>
    <x v="0"/>
  </r>
  <r>
    <x v="83"/>
    <n v="2022"/>
    <x v="0"/>
  </r>
  <r>
    <x v="84"/>
    <n v="1998"/>
    <x v="0"/>
  </r>
  <r>
    <x v="85"/>
    <n v="1991"/>
    <x v="0"/>
  </r>
  <r>
    <x v="86"/>
    <n v="1983"/>
    <x v="0"/>
  </r>
  <r>
    <x v="87"/>
    <n v="1957"/>
    <x v="0"/>
  </r>
  <r>
    <x v="88"/>
    <n v="1921"/>
    <x v="0"/>
  </r>
  <r>
    <x v="89"/>
    <n v="1901"/>
    <x v="0"/>
  </r>
  <r>
    <x v="90"/>
    <n v="1887"/>
    <x v="0"/>
  </r>
  <r>
    <x v="91"/>
    <n v="1875"/>
    <x v="0"/>
  </r>
  <r>
    <x v="92"/>
    <n v="1861"/>
    <x v="0"/>
  </r>
  <r>
    <x v="93"/>
    <n v="1869"/>
    <x v="0"/>
  </r>
  <r>
    <x v="94"/>
    <n v="1922"/>
    <x v="0"/>
  </r>
  <r>
    <x v="95"/>
    <n v="1904"/>
    <x v="0"/>
  </r>
  <r>
    <x v="96"/>
    <n v="1843"/>
    <x v="0"/>
  </r>
  <r>
    <x v="97"/>
    <n v="1888"/>
    <x v="0"/>
  </r>
  <r>
    <x v="98"/>
    <n v="1858"/>
    <x v="0"/>
  </r>
  <r>
    <x v="99"/>
    <n v="1830"/>
    <x v="0"/>
  </r>
  <r>
    <x v="100"/>
    <n v="1797"/>
    <x v="0"/>
  </r>
  <r>
    <x v="101"/>
    <n v="1778"/>
    <x v="0"/>
  </r>
  <r>
    <x v="102"/>
    <n v="1750"/>
    <x v="0"/>
  </r>
  <r>
    <x v="103"/>
    <n v="1752"/>
    <x v="0"/>
  </r>
  <r>
    <x v="104"/>
    <n v="1738"/>
    <x v="0"/>
  </r>
  <r>
    <x v="105"/>
    <n v="1712"/>
    <x v="0"/>
  </r>
  <r>
    <x v="106"/>
    <n v="1689"/>
    <x v="0"/>
  </r>
  <r>
    <x v="107"/>
    <n v="1694"/>
    <x v="0"/>
  </r>
  <r>
    <x v="108"/>
    <n v="1698"/>
    <x v="0"/>
  </r>
  <r>
    <x v="109"/>
    <n v="1686"/>
    <x v="0"/>
  </r>
  <r>
    <x v="110"/>
    <n v="1682"/>
    <x v="0"/>
  </r>
  <r>
    <x v="111"/>
    <n v="1672"/>
    <x v="0"/>
  </r>
  <r>
    <x v="112"/>
    <n v="1665"/>
    <x v="0"/>
  </r>
  <r>
    <x v="113"/>
    <n v="1667"/>
    <x v="0"/>
  </r>
  <r>
    <x v="114"/>
    <n v="1659"/>
    <x v="0"/>
  </r>
  <r>
    <x v="115"/>
    <n v="1670"/>
    <x v="0"/>
  </r>
  <r>
    <x v="116"/>
    <n v="1661"/>
    <x v="0"/>
  </r>
  <r>
    <x v="117"/>
    <n v="1650"/>
    <x v="0"/>
  </r>
  <r>
    <x v="118"/>
    <n v="1648"/>
    <x v="0"/>
  </r>
  <r>
    <x v="119"/>
    <n v="1652"/>
    <x v="0"/>
  </r>
  <r>
    <x v="120"/>
    <n v="1643"/>
    <x v="0"/>
  </r>
  <r>
    <x v="121"/>
    <n v="1629"/>
    <x v="0"/>
  </r>
  <r>
    <x v="122"/>
    <n v="1633"/>
    <x v="0"/>
  </r>
  <r>
    <x v="123"/>
    <n v="1615"/>
    <x v="0"/>
  </r>
  <r>
    <x v="124"/>
    <n v="1610"/>
    <x v="0"/>
  </r>
  <r>
    <x v="125"/>
    <n v="1621"/>
    <x v="0"/>
  </r>
  <r>
    <x v="126"/>
    <n v="1625"/>
    <x v="0"/>
  </r>
  <r>
    <x v="127"/>
    <n v="1615"/>
    <x v="0"/>
  </r>
  <r>
    <x v="128"/>
    <n v="1613"/>
    <x v="0"/>
  </r>
  <r>
    <x v="129"/>
    <n v="1606"/>
    <x v="0"/>
  </r>
  <r>
    <x v="130"/>
    <n v="1600"/>
    <x v="0"/>
  </r>
  <r>
    <x v="131"/>
    <n v="1590"/>
    <x v="0"/>
  </r>
  <r>
    <x v="132"/>
    <n v="1590"/>
    <x v="0"/>
  </r>
  <r>
    <x v="133"/>
    <n v="1580"/>
    <x v="0"/>
  </r>
  <r>
    <x v="134"/>
    <n v="1581"/>
    <x v="0"/>
  </r>
  <r>
    <x v="135"/>
    <n v="1584"/>
    <x v="0"/>
  </r>
  <r>
    <x v="136"/>
    <n v="1592"/>
    <x v="0"/>
  </r>
  <r>
    <x v="137"/>
    <n v="1575"/>
    <x v="0"/>
  </r>
  <r>
    <x v="138"/>
    <n v="1575"/>
    <x v="0"/>
  </r>
  <r>
    <x v="139"/>
    <n v="1602"/>
    <x v="0"/>
  </r>
  <r>
    <x v="140"/>
    <n v="1612"/>
    <x v="0"/>
  </r>
  <r>
    <x v="141"/>
    <n v="1612"/>
    <x v="0"/>
  </r>
  <r>
    <x v="142"/>
    <n v="1618"/>
    <x v="0"/>
  </r>
  <r>
    <x v="143"/>
    <n v="1632"/>
    <x v="0"/>
  </r>
  <r>
    <x v="144"/>
    <n v="1636"/>
    <x v="0"/>
  </r>
  <r>
    <x v="145"/>
    <n v="1627"/>
    <x v="0"/>
  </r>
  <r>
    <x v="146"/>
    <n v="1631"/>
    <x v="0"/>
  </r>
  <r>
    <x v="147"/>
    <n v="1635"/>
    <x v="0"/>
  </r>
  <r>
    <x v="148"/>
    <n v="1635"/>
    <x v="0"/>
  </r>
  <r>
    <x v="149"/>
    <n v="1647"/>
    <x v="0"/>
  </r>
  <r>
    <x v="150"/>
    <n v="1666"/>
    <x v="0"/>
  </r>
  <r>
    <x v="151"/>
    <n v="1662"/>
    <x v="0"/>
  </r>
  <r>
    <x v="152"/>
    <n v="1666"/>
    <x v="0"/>
  </r>
  <r>
    <x v="153"/>
    <n v="1672"/>
    <x v="0"/>
  </r>
  <r>
    <x v="154"/>
    <n v="1682"/>
    <x v="0"/>
  </r>
  <r>
    <x v="155"/>
    <n v="1699"/>
    <x v="0"/>
  </r>
  <r>
    <x v="156"/>
    <n v="1699"/>
    <x v="0"/>
  </r>
  <r>
    <x v="157"/>
    <n v="1704"/>
    <x v="0"/>
  </r>
  <r>
    <x v="158"/>
    <n v="1726"/>
    <x v="0"/>
  </r>
  <r>
    <x v="159"/>
    <n v="1736"/>
    <x v="0"/>
  </r>
  <r>
    <x v="160"/>
    <n v="1756"/>
    <x v="0"/>
  </r>
  <r>
    <x v="161"/>
    <n v="1761"/>
    <x v="0"/>
  </r>
  <r>
    <x v="162"/>
    <n v="1767"/>
    <x v="0"/>
  </r>
  <r>
    <x v="163"/>
    <n v="1783"/>
    <x v="0"/>
  </r>
  <r>
    <x v="164"/>
    <n v="1791"/>
    <x v="0"/>
  </r>
  <r>
    <x v="165"/>
    <n v="1804"/>
    <x v="0"/>
  </r>
  <r>
    <x v="166"/>
    <n v="1820"/>
    <x v="0"/>
  </r>
  <r>
    <x v="167"/>
    <n v="1825"/>
    <x v="0"/>
  </r>
  <r>
    <x v="168"/>
    <n v="1829"/>
    <x v="0"/>
  </r>
  <r>
    <x v="169"/>
    <n v="1847"/>
    <x v="0"/>
  </r>
  <r>
    <x v="170"/>
    <n v="1852"/>
    <x v="0"/>
  </r>
  <r>
    <x v="171"/>
    <n v="1865"/>
    <x v="0"/>
  </r>
  <r>
    <x v="172"/>
    <n v="1873"/>
    <x v="0"/>
  </r>
  <r>
    <x v="173"/>
    <n v="1881"/>
    <x v="0"/>
  </r>
  <r>
    <x v="174"/>
    <n v="1891"/>
    <x v="0"/>
  </r>
  <r>
    <x v="175"/>
    <n v="1888"/>
    <x v="0"/>
  </r>
  <r>
    <x v="176"/>
    <n v="1887"/>
    <x v="0"/>
  </r>
  <r>
    <x v="177"/>
    <n v="1885"/>
    <x v="0"/>
  </r>
  <r>
    <x v="178"/>
    <n v="1856"/>
    <x v="0"/>
  </r>
  <r>
    <x v="179"/>
    <n v="1842"/>
    <x v="0"/>
  </r>
  <r>
    <x v="180"/>
    <n v="1828"/>
    <x v="0"/>
  </r>
  <r>
    <x v="181"/>
    <n v="1830"/>
    <x v="0"/>
  </r>
  <r>
    <x v="182"/>
    <n v="1841"/>
    <x v="0"/>
  </r>
  <r>
    <x v="183"/>
    <n v="1852"/>
    <x v="0"/>
  </r>
  <r>
    <x v="184"/>
    <n v="1846"/>
    <x v="0"/>
  </r>
  <r>
    <x v="185"/>
    <n v="1853"/>
    <x v="0"/>
  </r>
  <r>
    <x v="186"/>
    <n v="1848"/>
    <x v="0"/>
  </r>
  <r>
    <x v="187"/>
    <n v="1842"/>
    <x v="0"/>
  </r>
  <r>
    <x v="188"/>
    <n v="1849"/>
    <x v="0"/>
  </r>
  <r>
    <x v="189"/>
    <n v="1851"/>
    <x v="0"/>
  </r>
  <r>
    <x v="190"/>
    <n v="1880"/>
    <x v="0"/>
  </r>
  <r>
    <x v="191"/>
    <n v="1895"/>
    <x v="0"/>
  </r>
  <r>
    <x v="192"/>
    <n v="1890"/>
    <x v="0"/>
  </r>
  <r>
    <x v="193"/>
    <n v="1898"/>
    <x v="0"/>
  </r>
  <r>
    <x v="194"/>
    <n v="1911"/>
    <x v="0"/>
  </r>
  <r>
    <x v="195"/>
    <n v="1906"/>
    <x v="0"/>
  </r>
  <r>
    <x v="196"/>
    <n v="1928"/>
    <x v="0"/>
  </r>
  <r>
    <x v="197"/>
    <n v="1926"/>
    <x v="0"/>
  </r>
  <r>
    <x v="198"/>
    <n v="1932"/>
    <x v="0"/>
  </r>
  <r>
    <x v="199"/>
    <n v="1915"/>
    <x v="0"/>
  </r>
  <r>
    <x v="200"/>
    <n v="1909"/>
    <x v="0"/>
  </r>
  <r>
    <x v="201"/>
    <n v="1915"/>
    <x v="0"/>
  </r>
  <r>
    <x v="202"/>
    <n v="1923"/>
    <x v="0"/>
  </r>
  <r>
    <x v="203"/>
    <n v="1929"/>
    <x v="0"/>
  </r>
  <r>
    <x v="204"/>
    <n v="1923"/>
    <x v="0"/>
  </r>
  <r>
    <x v="205"/>
    <n v="1935"/>
    <x v="0"/>
  </r>
  <r>
    <x v="206"/>
    <n v="1952"/>
    <x v="0"/>
  </r>
  <r>
    <x v="207"/>
    <n v="1995"/>
    <x v="0"/>
  </r>
  <r>
    <x v="208"/>
    <n v="1996"/>
    <x v="0"/>
  </r>
  <r>
    <x v="209"/>
    <n v="1989"/>
    <x v="0"/>
  </r>
  <r>
    <x v="210"/>
    <n v="1998"/>
    <x v="0"/>
  </r>
  <r>
    <x v="211"/>
    <n v="2001"/>
    <x v="0"/>
  </r>
  <r>
    <x v="212"/>
    <n v="2009"/>
    <x v="0"/>
  </r>
  <r>
    <x v="213"/>
    <n v="2022"/>
    <x v="0"/>
  </r>
  <r>
    <x v="214"/>
    <n v="2044"/>
    <x v="0"/>
  </r>
  <r>
    <x v="215"/>
    <n v="2057"/>
    <x v="0"/>
  </r>
  <r>
    <x v="216"/>
    <n v="2032"/>
    <x v="0"/>
  </r>
  <r>
    <x v="217"/>
    <n v="2037"/>
    <x v="0"/>
  </r>
  <r>
    <x v="218"/>
    <n v="2044"/>
    <x v="0"/>
  </r>
  <r>
    <x v="219"/>
    <n v="2040"/>
    <x v="0"/>
  </r>
  <r>
    <x v="220"/>
    <n v="2085"/>
    <x v="0"/>
  </r>
  <r>
    <x v="221"/>
    <n v="2078"/>
    <x v="0"/>
  </r>
  <r>
    <x v="222"/>
    <n v="2100"/>
    <x v="0"/>
  </r>
  <r>
    <x v="223"/>
    <n v="2047"/>
    <x v="0"/>
  </r>
  <r>
    <x v="224"/>
    <n v="2012"/>
    <x v="0"/>
  </r>
  <r>
    <x v="225"/>
    <n v="1999"/>
    <x v="0"/>
  </r>
  <r>
    <x v="226"/>
    <n v="2028"/>
    <x v="0"/>
  </r>
  <r>
    <x v="227"/>
    <n v="2045"/>
    <x v="0"/>
  </r>
  <r>
    <x v="228"/>
    <n v="2079"/>
    <x v="0"/>
  </r>
  <r>
    <x v="229"/>
    <n v="2087"/>
    <x v="0"/>
  </r>
  <r>
    <x v="230"/>
    <n v="2140"/>
    <x v="0"/>
  </r>
  <r>
    <x v="231"/>
    <n v="2116"/>
    <x v="0"/>
  </r>
  <r>
    <x v="232"/>
    <n v="2119"/>
    <x v="0"/>
  </r>
  <r>
    <x v="233"/>
    <n v="2139"/>
    <x v="0"/>
  </r>
  <r>
    <x v="234"/>
    <n v="2135"/>
    <x v="0"/>
  </r>
  <r>
    <x v="235"/>
    <n v="2183"/>
    <x v="0"/>
  </r>
  <r>
    <x v="236"/>
    <n v="2136"/>
    <x v="0"/>
  </r>
  <r>
    <x v="0"/>
    <n v="2563"/>
    <x v="1"/>
  </r>
  <r>
    <x v="1"/>
    <n v="2623"/>
    <x v="1"/>
  </r>
  <r>
    <x v="2"/>
    <n v="2681"/>
    <x v="1"/>
  </r>
  <r>
    <x v="3"/>
    <n v="2684"/>
    <x v="1"/>
  </r>
  <r>
    <x v="4"/>
    <n v="2644"/>
    <x v="1"/>
  </r>
  <r>
    <x v="5"/>
    <n v="2611"/>
    <x v="1"/>
  </r>
  <r>
    <x v="6"/>
    <n v="2556"/>
    <x v="1"/>
  </r>
  <r>
    <x v="7"/>
    <n v="2494"/>
    <x v="1"/>
  </r>
  <r>
    <x v="8"/>
    <n v="2396"/>
    <x v="1"/>
  </r>
  <r>
    <x v="9"/>
    <n v="2408"/>
    <x v="1"/>
  </r>
  <r>
    <x v="10"/>
    <n v="2371"/>
    <x v="1"/>
  </r>
  <r>
    <x v="11"/>
    <n v="2353"/>
    <x v="1"/>
  </r>
  <r>
    <x v="12"/>
    <n v="2354"/>
    <x v="1"/>
  </r>
  <r>
    <x v="13"/>
    <n v="2354"/>
    <x v="1"/>
  </r>
  <r>
    <x v="14"/>
    <n v="2348"/>
    <x v="1"/>
  </r>
  <r>
    <x v="15"/>
    <n v="2343"/>
    <x v="1"/>
  </r>
  <r>
    <x v="16"/>
    <n v="2317"/>
    <x v="1"/>
  </r>
  <r>
    <x v="17"/>
    <n v="2300"/>
    <x v="1"/>
  </r>
  <r>
    <x v="18"/>
    <n v="2246"/>
    <x v="1"/>
  </r>
  <r>
    <x v="19"/>
    <n v="2214"/>
    <x v="1"/>
  </r>
  <r>
    <x v="20"/>
    <n v="2223"/>
    <x v="1"/>
  </r>
  <r>
    <x v="21"/>
    <n v="2211"/>
    <x v="1"/>
  </r>
  <r>
    <x v="22"/>
    <n v="2217"/>
    <x v="1"/>
  </r>
  <r>
    <x v="23"/>
    <n v="2210"/>
    <x v="1"/>
  </r>
  <r>
    <x v="24"/>
    <n v="2185"/>
    <x v="1"/>
  </r>
  <r>
    <x v="25"/>
    <n v="2184"/>
    <x v="1"/>
  </r>
  <r>
    <x v="26"/>
    <n v="2188"/>
    <x v="1"/>
  </r>
  <r>
    <x v="27"/>
    <n v="2181"/>
    <x v="1"/>
  </r>
  <r>
    <x v="28"/>
    <n v="2166"/>
    <x v="1"/>
  </r>
  <r>
    <x v="29"/>
    <n v="2147"/>
    <x v="1"/>
  </r>
  <r>
    <x v="30"/>
    <n v="2151"/>
    <x v="1"/>
  </r>
  <r>
    <x v="31"/>
    <n v="2151"/>
    <x v="1"/>
  </r>
  <r>
    <x v="32"/>
    <n v="2123"/>
    <x v="1"/>
  </r>
  <r>
    <x v="33"/>
    <n v="2121"/>
    <x v="1"/>
  </r>
  <r>
    <x v="34"/>
    <n v="2113"/>
    <x v="1"/>
  </r>
  <r>
    <x v="35"/>
    <n v="2088"/>
    <x v="1"/>
  </r>
  <r>
    <x v="36"/>
    <n v="2057"/>
    <x v="1"/>
  </r>
  <r>
    <x v="37"/>
    <n v="2068"/>
    <x v="1"/>
  </r>
  <r>
    <x v="38"/>
    <n v="2062"/>
    <x v="1"/>
  </r>
  <r>
    <x v="39"/>
    <n v="2016"/>
    <x v="1"/>
  </r>
  <r>
    <x v="40"/>
    <n v="1994"/>
    <x v="1"/>
  </r>
  <r>
    <x v="41"/>
    <n v="1997"/>
    <x v="1"/>
  </r>
  <r>
    <x v="42"/>
    <n v="1994"/>
    <x v="1"/>
  </r>
  <r>
    <x v="43"/>
    <n v="1973"/>
    <x v="1"/>
  </r>
  <r>
    <x v="44"/>
    <n v="1955"/>
    <x v="1"/>
  </r>
  <r>
    <x v="45"/>
    <n v="1950"/>
    <x v="1"/>
  </r>
  <r>
    <x v="46"/>
    <n v="1948"/>
    <x v="1"/>
  </r>
  <r>
    <x v="47"/>
    <n v="1926"/>
    <x v="1"/>
  </r>
  <r>
    <x v="48"/>
    <n v="1934"/>
    <x v="1"/>
  </r>
  <r>
    <x v="49"/>
    <n v="1960"/>
    <x v="1"/>
  </r>
  <r>
    <x v="50"/>
    <n v="1962"/>
    <x v="1"/>
  </r>
  <r>
    <x v="51"/>
    <n v="1954"/>
    <x v="1"/>
  </r>
  <r>
    <x v="52"/>
    <n v="1963"/>
    <x v="1"/>
  </r>
  <r>
    <x v="53"/>
    <n v="1960"/>
    <x v="1"/>
  </r>
  <r>
    <x v="54"/>
    <n v="1973"/>
    <x v="1"/>
  </r>
  <r>
    <x v="55"/>
    <n v="1987"/>
    <x v="1"/>
  </r>
  <r>
    <x v="56"/>
    <n v="1995"/>
    <x v="1"/>
  </r>
  <r>
    <x v="57"/>
    <n v="1995"/>
    <x v="1"/>
  </r>
  <r>
    <x v="58"/>
    <n v="1982"/>
    <x v="1"/>
  </r>
  <r>
    <x v="59"/>
    <n v="2005"/>
    <x v="1"/>
  </r>
  <r>
    <x v="60"/>
    <n v="2033"/>
    <x v="1"/>
  </r>
  <r>
    <x v="61"/>
    <n v="2048"/>
    <x v="1"/>
  </r>
  <r>
    <x v="62"/>
    <n v="2066"/>
    <x v="1"/>
  </r>
  <r>
    <x v="63"/>
    <n v="2094"/>
    <x v="1"/>
  </r>
  <r>
    <x v="64"/>
    <n v="2090"/>
    <x v="1"/>
  </r>
  <r>
    <x v="65"/>
    <n v="2072"/>
    <x v="1"/>
  </r>
  <r>
    <x v="66"/>
    <n v="2050"/>
    <x v="1"/>
  </r>
  <r>
    <x v="67"/>
    <n v="2052"/>
    <x v="1"/>
  </r>
  <r>
    <x v="68"/>
    <n v="2033"/>
    <x v="1"/>
  </r>
  <r>
    <x v="69"/>
    <n v="2019"/>
    <x v="1"/>
  </r>
  <r>
    <x v="70"/>
    <n v="2026"/>
    <x v="1"/>
  </r>
  <r>
    <x v="71"/>
    <n v="2030"/>
    <x v="1"/>
  </r>
  <r>
    <x v="72"/>
    <n v="2047"/>
    <x v="1"/>
  </r>
  <r>
    <x v="73"/>
    <n v="2040"/>
    <x v="1"/>
  </r>
  <r>
    <x v="74"/>
    <n v="2030"/>
    <x v="1"/>
  </r>
  <r>
    <x v="75"/>
    <n v="2025"/>
    <x v="1"/>
  </r>
  <r>
    <x v="76"/>
    <n v="2024"/>
    <x v="1"/>
  </r>
  <r>
    <x v="77"/>
    <n v="2012"/>
    <x v="1"/>
  </r>
  <r>
    <x v="78"/>
    <n v="2006"/>
    <x v="1"/>
  </r>
  <r>
    <x v="79"/>
    <n v="2009"/>
    <x v="1"/>
  </r>
  <r>
    <x v="80"/>
    <n v="1988"/>
    <x v="1"/>
  </r>
  <r>
    <x v="81"/>
    <n v="1989"/>
    <x v="1"/>
  </r>
  <r>
    <x v="82"/>
    <n v="1969"/>
    <x v="1"/>
  </r>
  <r>
    <x v="83"/>
    <n v="1952"/>
    <x v="1"/>
  </r>
  <r>
    <x v="84"/>
    <n v="1931"/>
    <x v="1"/>
  </r>
  <r>
    <x v="85"/>
    <n v="1916"/>
    <x v="1"/>
  </r>
  <r>
    <x v="86"/>
    <n v="1920"/>
    <x v="1"/>
  </r>
  <r>
    <x v="87"/>
    <n v="1905"/>
    <x v="1"/>
  </r>
  <r>
    <x v="88"/>
    <n v="1879"/>
    <x v="1"/>
  </r>
  <r>
    <x v="89"/>
    <n v="1881"/>
    <x v="1"/>
  </r>
  <r>
    <x v="90"/>
    <n v="1851"/>
    <x v="1"/>
  </r>
  <r>
    <x v="91"/>
    <n v="1833"/>
    <x v="1"/>
  </r>
  <r>
    <x v="92"/>
    <n v="1820"/>
    <x v="1"/>
  </r>
  <r>
    <x v="93"/>
    <n v="1814"/>
    <x v="1"/>
  </r>
  <r>
    <x v="94"/>
    <n v="1813"/>
    <x v="1"/>
  </r>
  <r>
    <x v="95"/>
    <n v="1795"/>
    <x v="1"/>
  </r>
  <r>
    <x v="96"/>
    <n v="1796"/>
    <x v="1"/>
  </r>
  <r>
    <x v="97"/>
    <n v="1795"/>
    <x v="1"/>
  </r>
  <r>
    <x v="98"/>
    <n v="1798"/>
    <x v="1"/>
  </r>
  <r>
    <x v="99"/>
    <n v="1795"/>
    <x v="1"/>
  </r>
  <r>
    <x v="100"/>
    <n v="1804"/>
    <x v="1"/>
  </r>
  <r>
    <x v="101"/>
    <n v="1821"/>
    <x v="1"/>
  </r>
  <r>
    <x v="102"/>
    <n v="1822"/>
    <x v="1"/>
  </r>
  <r>
    <x v="103"/>
    <n v="1808"/>
    <x v="1"/>
  </r>
  <r>
    <x v="104"/>
    <n v="1798"/>
    <x v="1"/>
  </r>
  <r>
    <x v="105"/>
    <n v="1802"/>
    <x v="1"/>
  </r>
  <r>
    <x v="106"/>
    <n v="1807"/>
    <x v="1"/>
  </r>
  <r>
    <x v="107"/>
    <n v="1799"/>
    <x v="1"/>
  </r>
  <r>
    <x v="108"/>
    <n v="1804"/>
    <x v="1"/>
  </r>
  <r>
    <x v="109"/>
    <n v="1803"/>
    <x v="1"/>
  </r>
  <r>
    <x v="110"/>
    <n v="1818"/>
    <x v="1"/>
  </r>
  <r>
    <x v="111"/>
    <n v="1802"/>
    <x v="1"/>
  </r>
  <r>
    <x v="112"/>
    <n v="1792"/>
    <x v="1"/>
  </r>
  <r>
    <x v="113"/>
    <n v="1787"/>
    <x v="1"/>
  </r>
  <r>
    <x v="114"/>
    <n v="1787"/>
    <x v="1"/>
  </r>
  <r>
    <x v="115"/>
    <n v="1774"/>
    <x v="1"/>
  </r>
  <r>
    <x v="116"/>
    <n v="1771"/>
    <x v="1"/>
  </r>
  <r>
    <x v="117"/>
    <n v="1779"/>
    <x v="1"/>
  </r>
  <r>
    <x v="118"/>
    <n v="1781"/>
    <x v="1"/>
  </r>
  <r>
    <x v="119"/>
    <n v="1751"/>
    <x v="1"/>
  </r>
  <r>
    <x v="120"/>
    <n v="1743"/>
    <x v="1"/>
  </r>
  <r>
    <x v="121"/>
    <n v="1758"/>
    <x v="1"/>
  </r>
  <r>
    <x v="122"/>
    <n v="1785"/>
    <x v="1"/>
  </r>
  <r>
    <x v="123"/>
    <n v="1793"/>
    <x v="1"/>
  </r>
  <r>
    <x v="124"/>
    <n v="1789"/>
    <x v="1"/>
  </r>
  <r>
    <x v="125"/>
    <n v="1794"/>
    <x v="1"/>
  </r>
  <r>
    <x v="126"/>
    <n v="1805"/>
    <x v="1"/>
  </r>
  <r>
    <x v="127"/>
    <n v="1801"/>
    <x v="1"/>
  </r>
  <r>
    <x v="128"/>
    <n v="1787"/>
    <x v="1"/>
  </r>
  <r>
    <x v="129"/>
    <n v="1778"/>
    <x v="1"/>
  </r>
  <r>
    <x v="130"/>
    <n v="1784"/>
    <x v="1"/>
  </r>
  <r>
    <x v="131"/>
    <n v="1769"/>
    <x v="1"/>
  </r>
  <r>
    <x v="132"/>
    <n v="1762"/>
    <x v="1"/>
  </r>
  <r>
    <x v="133"/>
    <n v="1767"/>
    <x v="1"/>
  </r>
  <r>
    <x v="134"/>
    <n v="1779"/>
    <x v="1"/>
  </r>
  <r>
    <x v="135"/>
    <n v="1784"/>
    <x v="1"/>
  </r>
  <r>
    <x v="136"/>
    <n v="1783"/>
    <x v="1"/>
  </r>
  <r>
    <x v="137"/>
    <n v="1790"/>
    <x v="1"/>
  </r>
  <r>
    <x v="138"/>
    <n v="1795"/>
    <x v="1"/>
  </r>
  <r>
    <x v="139"/>
    <n v="1814"/>
    <x v="1"/>
  </r>
  <r>
    <x v="140"/>
    <n v="1820"/>
    <x v="1"/>
  </r>
  <r>
    <x v="141"/>
    <n v="1826"/>
    <x v="1"/>
  </r>
  <r>
    <x v="142"/>
    <n v="1827"/>
    <x v="1"/>
  </r>
  <r>
    <x v="143"/>
    <n v="1829"/>
    <x v="1"/>
  </r>
  <r>
    <x v="144"/>
    <n v="1818"/>
    <x v="1"/>
  </r>
  <r>
    <x v="145"/>
    <n v="1802"/>
    <x v="1"/>
  </r>
  <r>
    <x v="146"/>
    <n v="1818"/>
    <x v="1"/>
  </r>
  <r>
    <x v="147"/>
    <n v="1854"/>
    <x v="1"/>
  </r>
  <r>
    <x v="148"/>
    <n v="1871"/>
    <x v="1"/>
  </r>
  <r>
    <x v="149"/>
    <n v="1863"/>
    <x v="1"/>
  </r>
  <r>
    <x v="150"/>
    <n v="1885"/>
    <x v="1"/>
  </r>
  <r>
    <x v="151"/>
    <n v="1907"/>
    <x v="1"/>
  </r>
  <r>
    <x v="152"/>
    <n v="1953"/>
    <x v="1"/>
  </r>
  <r>
    <x v="153"/>
    <n v="1984"/>
    <x v="1"/>
  </r>
  <r>
    <x v="154"/>
    <n v="2029"/>
    <x v="1"/>
  </r>
  <r>
    <x v="155"/>
    <n v="2045"/>
    <x v="1"/>
  </r>
  <r>
    <x v="156"/>
    <n v="2069"/>
    <x v="1"/>
  </r>
  <r>
    <x v="157"/>
    <n v="2076"/>
    <x v="1"/>
  </r>
  <r>
    <x v="158"/>
    <n v="2108"/>
    <x v="1"/>
  </r>
  <r>
    <x v="159"/>
    <n v="2118"/>
    <x v="1"/>
  </r>
  <r>
    <x v="160"/>
    <n v="2138"/>
    <x v="1"/>
  </r>
  <r>
    <x v="161"/>
    <n v="2174"/>
    <x v="1"/>
  </r>
  <r>
    <x v="162"/>
    <n v="2216"/>
    <x v="1"/>
  </r>
  <r>
    <x v="163"/>
    <n v="2223"/>
    <x v="1"/>
  </r>
  <r>
    <x v="164"/>
    <n v="2234"/>
    <x v="1"/>
  </r>
  <r>
    <x v="165"/>
    <n v="2263"/>
    <x v="1"/>
  </r>
  <r>
    <x v="166"/>
    <n v="2314"/>
    <x v="1"/>
  </r>
  <r>
    <x v="167"/>
    <n v="2327"/>
    <x v="1"/>
  </r>
  <r>
    <x v="168"/>
    <n v="2328"/>
    <x v="1"/>
  </r>
  <r>
    <x v="169"/>
    <n v="2350"/>
    <x v="1"/>
  </r>
  <r>
    <x v="170"/>
    <n v="2375"/>
    <x v="1"/>
  </r>
  <r>
    <x v="171"/>
    <n v="2425"/>
    <x v="1"/>
  </r>
  <r>
    <x v="172"/>
    <n v="2442"/>
    <x v="1"/>
  </r>
  <r>
    <x v="173"/>
    <n v="2484"/>
    <x v="1"/>
  </r>
  <r>
    <x v="174"/>
    <n v="2467"/>
    <x v="1"/>
  </r>
  <r>
    <x v="175"/>
    <n v="2426"/>
    <x v="1"/>
  </r>
  <r>
    <x v="176"/>
    <n v="2406"/>
    <x v="1"/>
  </r>
  <r>
    <x v="177"/>
    <n v="2398"/>
    <x v="1"/>
  </r>
  <r>
    <x v="178"/>
    <n v="2400"/>
    <x v="1"/>
  </r>
  <r>
    <x v="179"/>
    <n v="2385"/>
    <x v="1"/>
  </r>
  <r>
    <x v="180"/>
    <n v="2376"/>
    <x v="1"/>
  </r>
  <r>
    <x v="181"/>
    <n v="2277"/>
    <x v="1"/>
  </r>
  <r>
    <x v="182"/>
    <n v="2300"/>
    <x v="1"/>
  </r>
  <r>
    <x v="183"/>
    <n v="2321"/>
    <x v="1"/>
  </r>
  <r>
    <x v="184"/>
    <n v="2326"/>
    <x v="1"/>
  </r>
  <r>
    <x v="185"/>
    <n v="2305"/>
    <x v="1"/>
  </r>
  <r>
    <x v="186"/>
    <n v="2349"/>
    <x v="1"/>
  </r>
  <r>
    <x v="187"/>
    <n v="2348"/>
    <x v="1"/>
  </r>
  <r>
    <x v="188"/>
    <n v="2399"/>
    <x v="1"/>
  </r>
  <r>
    <x v="189"/>
    <n v="2344"/>
    <x v="1"/>
  </r>
  <r>
    <x v="190"/>
    <n v="2347"/>
    <x v="1"/>
  </r>
  <r>
    <x v="191"/>
    <n v="2350"/>
    <x v="1"/>
  </r>
  <r>
    <x v="192"/>
    <n v="2354"/>
    <x v="1"/>
  </r>
  <r>
    <x v="193"/>
    <n v="2354"/>
    <x v="1"/>
  </r>
  <r>
    <x v="194"/>
    <n v="2348"/>
    <x v="1"/>
  </r>
  <r>
    <x v="195"/>
    <n v="2377"/>
    <x v="1"/>
  </r>
  <r>
    <x v="196"/>
    <n v="2422"/>
    <x v="1"/>
  </r>
  <r>
    <x v="197"/>
    <n v="2447"/>
    <x v="1"/>
  </r>
  <r>
    <x v="198"/>
    <n v="2459"/>
    <x v="1"/>
  </r>
  <r>
    <x v="199"/>
    <n v="2433"/>
    <x v="1"/>
  </r>
  <r>
    <x v="200"/>
    <n v="2460"/>
    <x v="1"/>
  </r>
  <r>
    <x v="201"/>
    <n v="2459"/>
    <x v="1"/>
  </r>
  <r>
    <x v="202"/>
    <n v="2512"/>
    <x v="1"/>
  </r>
  <r>
    <x v="203"/>
    <n v="2547"/>
    <x v="1"/>
  </r>
  <r>
    <x v="204"/>
    <n v="2541"/>
    <x v="1"/>
  </r>
  <r>
    <x v="205"/>
    <n v="2539"/>
    <x v="1"/>
  </r>
  <r>
    <x v="206"/>
    <n v="2582"/>
    <x v="1"/>
  </r>
  <r>
    <x v="207"/>
    <n v="2588"/>
    <x v="1"/>
  </r>
  <r>
    <x v="208"/>
    <n v="2620"/>
    <x v="1"/>
  </r>
  <r>
    <x v="209"/>
    <n v="2584"/>
    <x v="1"/>
  </r>
  <r>
    <x v="210"/>
    <n v="2617"/>
    <x v="1"/>
  </r>
  <r>
    <x v="211"/>
    <n v="2569"/>
    <x v="1"/>
  </r>
  <r>
    <x v="212"/>
    <n v="2606"/>
    <x v="1"/>
  </r>
  <r>
    <x v="213"/>
    <n v="2628"/>
    <x v="1"/>
  </r>
  <r>
    <x v="214"/>
    <n v="2598"/>
    <x v="1"/>
  </r>
  <r>
    <x v="215"/>
    <n v="2620"/>
    <x v="1"/>
  </r>
  <r>
    <x v="216"/>
    <n v="2646"/>
    <x v="1"/>
  </r>
  <r>
    <x v="217"/>
    <n v="2476"/>
    <x v="1"/>
  </r>
  <r>
    <x v="218"/>
    <n v="2478"/>
    <x v="1"/>
  </r>
  <r>
    <x v="219"/>
    <n v="2478"/>
    <x v="1"/>
  </r>
  <r>
    <x v="0"/>
    <n v="4343"/>
    <x v="2"/>
  </r>
  <r>
    <x v="1"/>
    <n v="4384"/>
    <x v="2"/>
  </r>
  <r>
    <x v="2"/>
    <n v="4359"/>
    <x v="2"/>
  </r>
  <r>
    <x v="3"/>
    <n v="4289"/>
    <x v="2"/>
  </r>
  <r>
    <x v="4"/>
    <n v="4234"/>
    <x v="2"/>
  </r>
  <r>
    <x v="5"/>
    <n v="4148"/>
    <x v="2"/>
  </r>
  <r>
    <x v="6"/>
    <n v="4013"/>
    <x v="2"/>
  </r>
  <r>
    <x v="7"/>
    <n v="3949"/>
    <x v="2"/>
  </r>
  <r>
    <x v="8"/>
    <n v="3851"/>
    <x v="2"/>
  </r>
  <r>
    <x v="9"/>
    <n v="3771"/>
    <x v="2"/>
  </r>
  <r>
    <x v="10"/>
    <n v="3712"/>
    <x v="2"/>
  </r>
  <r>
    <x v="11"/>
    <n v="3638"/>
    <x v="2"/>
  </r>
  <r>
    <x v="12"/>
    <n v="3569"/>
    <x v="2"/>
  </r>
  <r>
    <x v="13"/>
    <n v="3554"/>
    <x v="2"/>
  </r>
  <r>
    <x v="14"/>
    <n v="3504"/>
    <x v="2"/>
  </r>
  <r>
    <x v="15"/>
    <n v="3440"/>
    <x v="2"/>
  </r>
  <r>
    <x v="16"/>
    <n v="3406"/>
    <x v="2"/>
  </r>
  <r>
    <x v="17"/>
    <n v="3367"/>
    <x v="2"/>
  </r>
  <r>
    <x v="18"/>
    <n v="3331"/>
    <x v="2"/>
  </r>
  <r>
    <x v="19"/>
    <n v="3292"/>
    <x v="2"/>
  </r>
  <r>
    <x v="20"/>
    <n v="3247"/>
    <x v="2"/>
  </r>
  <r>
    <x v="21"/>
    <n v="3208"/>
    <x v="2"/>
  </r>
  <r>
    <x v="22"/>
    <n v="3170"/>
    <x v="2"/>
  </r>
  <r>
    <x v="23"/>
    <n v="3152"/>
    <x v="2"/>
  </r>
  <r>
    <x v="24"/>
    <n v="3129"/>
    <x v="2"/>
  </r>
  <r>
    <x v="25"/>
    <n v="3139"/>
    <x v="2"/>
  </r>
  <r>
    <x v="26"/>
    <n v="3143"/>
    <x v="2"/>
  </r>
  <r>
    <x v="27"/>
    <n v="3142"/>
    <x v="2"/>
  </r>
  <r>
    <x v="28"/>
    <n v="3124"/>
    <x v="2"/>
  </r>
  <r>
    <x v="29"/>
    <n v="3134"/>
    <x v="2"/>
  </r>
  <r>
    <x v="30"/>
    <n v="3111"/>
    <x v="2"/>
  </r>
  <r>
    <x v="31"/>
    <n v="3083"/>
    <x v="2"/>
  </r>
  <r>
    <x v="32"/>
    <n v="3061"/>
    <x v="2"/>
  </r>
  <r>
    <x v="33"/>
    <n v="3062"/>
    <x v="2"/>
  </r>
  <r>
    <x v="34"/>
    <n v="3075"/>
    <x v="2"/>
  </r>
  <r>
    <x v="35"/>
    <n v="3057"/>
    <x v="2"/>
  </r>
  <r>
    <x v="36"/>
    <n v="3043"/>
    <x v="2"/>
  </r>
  <r>
    <x v="37"/>
    <n v="3052"/>
    <x v="2"/>
  </r>
  <r>
    <x v="38"/>
    <n v="3032"/>
    <x v="2"/>
  </r>
  <r>
    <x v="39"/>
    <n v="3013"/>
    <x v="2"/>
  </r>
  <r>
    <x v="40"/>
    <n v="2996"/>
    <x v="2"/>
  </r>
  <r>
    <x v="41"/>
    <n v="2971"/>
    <x v="2"/>
  </r>
  <r>
    <x v="42"/>
    <n v="2954"/>
    <x v="2"/>
  </r>
  <r>
    <x v="43"/>
    <n v="2948"/>
    <x v="2"/>
  </r>
  <r>
    <x v="44"/>
    <n v="2922"/>
    <x v="2"/>
  </r>
  <r>
    <x v="45"/>
    <n v="2897"/>
    <x v="2"/>
  </r>
  <r>
    <x v="46"/>
    <n v="2878"/>
    <x v="2"/>
  </r>
  <r>
    <x v="47"/>
    <n v="2871"/>
    <x v="2"/>
  </r>
  <r>
    <x v="48"/>
    <n v="2880"/>
    <x v="2"/>
  </r>
  <r>
    <x v="49"/>
    <n v="2883"/>
    <x v="2"/>
  </r>
  <r>
    <x v="50"/>
    <n v="2894"/>
    <x v="2"/>
  </r>
  <r>
    <x v="51"/>
    <n v="2885"/>
    <x v="2"/>
  </r>
  <r>
    <x v="52"/>
    <n v="2855"/>
    <x v="2"/>
  </r>
  <r>
    <x v="53"/>
    <n v="2826"/>
    <x v="2"/>
  </r>
  <r>
    <x v="54"/>
    <n v="2823"/>
    <x v="2"/>
  </r>
  <r>
    <x v="55"/>
    <n v="2808"/>
    <x v="2"/>
  </r>
  <r>
    <x v="56"/>
    <n v="2786"/>
    <x v="2"/>
  </r>
  <r>
    <x v="57"/>
    <n v="2774"/>
    <x v="2"/>
  </r>
  <r>
    <x v="58"/>
    <n v="2757"/>
    <x v="2"/>
  </r>
  <r>
    <x v="59"/>
    <n v="2727"/>
    <x v="2"/>
  </r>
  <r>
    <x v="60"/>
    <n v="2714"/>
    <x v="2"/>
  </r>
  <r>
    <x v="61"/>
    <n v="2720"/>
    <x v="2"/>
  </r>
  <r>
    <x v="62"/>
    <n v="2719"/>
    <x v="2"/>
  </r>
  <r>
    <x v="63"/>
    <n v="2695"/>
    <x v="2"/>
  </r>
  <r>
    <x v="64"/>
    <n v="2715"/>
    <x v="2"/>
  </r>
  <r>
    <x v="65"/>
    <n v="2721"/>
    <x v="2"/>
  </r>
  <r>
    <x v="66"/>
    <n v="2723"/>
    <x v="2"/>
  </r>
  <r>
    <x v="67"/>
    <n v="2715"/>
    <x v="2"/>
  </r>
  <r>
    <x v="68"/>
    <n v="2710"/>
    <x v="2"/>
  </r>
  <r>
    <x v="69"/>
    <n v="2723"/>
    <x v="2"/>
  </r>
  <r>
    <x v="70"/>
    <n v="2726"/>
    <x v="2"/>
  </r>
  <r>
    <x v="71"/>
    <n v="2711"/>
    <x v="2"/>
  </r>
  <r>
    <x v="72"/>
    <n v="2701"/>
    <x v="2"/>
  </r>
  <r>
    <x v="73"/>
    <n v="2734"/>
    <x v="2"/>
  </r>
  <r>
    <x v="74"/>
    <n v="2742"/>
    <x v="2"/>
  </r>
  <r>
    <x v="75"/>
    <n v="2734"/>
    <x v="2"/>
  </r>
  <r>
    <x v="76"/>
    <n v="2736"/>
    <x v="2"/>
  </r>
  <r>
    <x v="77"/>
    <n v="2733"/>
    <x v="2"/>
  </r>
  <r>
    <x v="78"/>
    <n v="2723"/>
    <x v="2"/>
  </r>
  <r>
    <x v="79"/>
    <n v="2705"/>
    <x v="2"/>
  </r>
  <r>
    <x v="80"/>
    <n v="2677"/>
    <x v="2"/>
  </r>
  <r>
    <x v="81"/>
    <n v="2658"/>
    <x v="2"/>
  </r>
  <r>
    <x v="82"/>
    <n v="2633"/>
    <x v="2"/>
  </r>
  <r>
    <x v="83"/>
    <n v="2577"/>
    <x v="2"/>
  </r>
  <r>
    <x v="84"/>
    <n v="2546"/>
    <x v="2"/>
  </r>
  <r>
    <x v="85"/>
    <n v="2542"/>
    <x v="2"/>
  </r>
  <r>
    <x v="86"/>
    <n v="2512"/>
    <x v="2"/>
  </r>
  <r>
    <x v="87"/>
    <n v="2466"/>
    <x v="2"/>
  </r>
  <r>
    <x v="88"/>
    <n v="2429"/>
    <x v="2"/>
  </r>
  <r>
    <x v="89"/>
    <n v="2392"/>
    <x v="2"/>
  </r>
  <r>
    <x v="90"/>
    <n v="2355"/>
    <x v="2"/>
  </r>
  <r>
    <x v="91"/>
    <n v="2311"/>
    <x v="2"/>
  </r>
  <r>
    <x v="92"/>
    <n v="2266"/>
    <x v="2"/>
  </r>
  <r>
    <x v="93"/>
    <n v="2245"/>
    <x v="2"/>
  </r>
  <r>
    <x v="94"/>
    <n v="2224"/>
    <x v="2"/>
  </r>
  <r>
    <x v="95"/>
    <n v="2198"/>
    <x v="2"/>
  </r>
  <r>
    <x v="96"/>
    <n v="2179"/>
    <x v="2"/>
  </r>
  <r>
    <x v="97"/>
    <n v="2177"/>
    <x v="2"/>
  </r>
  <r>
    <x v="98"/>
    <n v="2180"/>
    <x v="2"/>
  </r>
  <r>
    <x v="99"/>
    <n v="2155"/>
    <x v="2"/>
  </r>
  <r>
    <x v="100"/>
    <n v="2145"/>
    <x v="2"/>
  </r>
  <r>
    <x v="101"/>
    <n v="2146"/>
    <x v="2"/>
  </r>
  <r>
    <x v="102"/>
    <n v="2154"/>
    <x v="2"/>
  </r>
  <r>
    <x v="103"/>
    <n v="2152"/>
    <x v="2"/>
  </r>
  <r>
    <x v="104"/>
    <n v="2152"/>
    <x v="2"/>
  </r>
  <r>
    <x v="105"/>
    <n v="2160"/>
    <x v="2"/>
  </r>
  <r>
    <x v="106"/>
    <n v="2152"/>
    <x v="2"/>
  </r>
  <r>
    <x v="107"/>
    <n v="2139"/>
    <x v="2"/>
  </r>
  <r>
    <x v="108"/>
    <n v="2135"/>
    <x v="2"/>
  </r>
  <r>
    <x v="109"/>
    <n v="2147"/>
    <x v="2"/>
  </r>
  <r>
    <x v="110"/>
    <n v="2146"/>
    <x v="2"/>
  </r>
  <r>
    <x v="111"/>
    <n v="2149"/>
    <x v="2"/>
  </r>
  <r>
    <x v="112"/>
    <n v="2143"/>
    <x v="2"/>
  </r>
  <r>
    <x v="113"/>
    <n v="2141"/>
    <x v="2"/>
  </r>
  <r>
    <x v="114"/>
    <n v="2148"/>
    <x v="2"/>
  </r>
  <r>
    <x v="115"/>
    <n v="2144"/>
    <x v="2"/>
  </r>
  <r>
    <x v="116"/>
    <n v="2147"/>
    <x v="2"/>
  </r>
  <r>
    <x v="117"/>
    <n v="2153"/>
    <x v="2"/>
  </r>
  <r>
    <x v="118"/>
    <n v="2165"/>
    <x v="2"/>
  </r>
  <r>
    <x v="119"/>
    <n v="2159"/>
    <x v="2"/>
  </r>
  <r>
    <x v="120"/>
    <n v="2148"/>
    <x v="2"/>
  </r>
  <r>
    <x v="121"/>
    <n v="2146"/>
    <x v="2"/>
  </r>
  <r>
    <x v="122"/>
    <n v="2169"/>
    <x v="2"/>
  </r>
  <r>
    <x v="123"/>
    <n v="2178"/>
    <x v="2"/>
  </r>
  <r>
    <x v="124"/>
    <n v="2172"/>
    <x v="2"/>
  </r>
  <r>
    <x v="125"/>
    <n v="2168"/>
    <x v="2"/>
  </r>
  <r>
    <x v="126"/>
    <n v="2164"/>
    <x v="2"/>
  </r>
  <r>
    <x v="127"/>
    <n v="2161"/>
    <x v="2"/>
  </r>
  <r>
    <x v="128"/>
    <n v="2169"/>
    <x v="2"/>
  </r>
  <r>
    <x v="129"/>
    <n v="2167"/>
    <x v="2"/>
  </r>
  <r>
    <x v="130"/>
    <n v="2174"/>
    <x v="2"/>
  </r>
  <r>
    <x v="131"/>
    <n v="2159"/>
    <x v="2"/>
  </r>
  <r>
    <x v="132"/>
    <n v="2153"/>
    <x v="2"/>
  </r>
  <r>
    <x v="133"/>
    <n v="2160"/>
    <x v="2"/>
  </r>
  <r>
    <x v="134"/>
    <n v="2181"/>
    <x v="2"/>
  </r>
  <r>
    <x v="135"/>
    <n v="2181"/>
    <x v="2"/>
  </r>
  <r>
    <x v="136"/>
    <n v="2174"/>
    <x v="2"/>
  </r>
  <r>
    <x v="137"/>
    <n v="2177"/>
    <x v="2"/>
  </r>
  <r>
    <x v="138"/>
    <n v="2201"/>
    <x v="2"/>
  </r>
  <r>
    <x v="139"/>
    <n v="2222"/>
    <x v="2"/>
  </r>
  <r>
    <x v="140"/>
    <n v="2230"/>
    <x v="2"/>
  </r>
  <r>
    <x v="141"/>
    <n v="2229"/>
    <x v="2"/>
  </r>
  <r>
    <x v="142"/>
    <n v="2228"/>
    <x v="2"/>
  </r>
  <r>
    <x v="143"/>
    <n v="2228"/>
    <x v="2"/>
  </r>
  <r>
    <x v="144"/>
    <n v="2231"/>
    <x v="2"/>
  </r>
  <r>
    <x v="145"/>
    <n v="2233"/>
    <x v="2"/>
  </r>
  <r>
    <x v="146"/>
    <n v="2243"/>
    <x v="2"/>
  </r>
  <r>
    <x v="147"/>
    <n v="2248"/>
    <x v="2"/>
  </r>
  <r>
    <x v="148"/>
    <n v="2274"/>
    <x v="2"/>
  </r>
  <r>
    <x v="149"/>
    <n v="2281"/>
    <x v="2"/>
  </r>
  <r>
    <x v="150"/>
    <n v="2282"/>
    <x v="2"/>
  </r>
  <r>
    <x v="151"/>
    <n v="2277"/>
    <x v="2"/>
  </r>
  <r>
    <x v="152"/>
    <n v="2287"/>
    <x v="2"/>
  </r>
  <r>
    <x v="153"/>
    <n v="2313"/>
    <x v="2"/>
  </r>
  <r>
    <x v="154"/>
    <n v="2333"/>
    <x v="2"/>
  </r>
  <r>
    <x v="155"/>
    <n v="2348"/>
    <x v="2"/>
  </r>
  <r>
    <x v="156"/>
    <n v="2356"/>
    <x v="2"/>
  </r>
  <r>
    <x v="157"/>
    <n v="2389"/>
    <x v="2"/>
  </r>
  <r>
    <x v="158"/>
    <n v="2420"/>
    <x v="2"/>
  </r>
  <r>
    <x v="159"/>
    <n v="2446"/>
    <x v="2"/>
  </r>
  <r>
    <x v="160"/>
    <n v="2466"/>
    <x v="2"/>
  </r>
  <r>
    <x v="161"/>
    <n v="2480"/>
    <x v="2"/>
  </r>
  <r>
    <x v="162"/>
    <n v="2509"/>
    <x v="2"/>
  </r>
  <r>
    <x v="163"/>
    <n v="2512"/>
    <x v="2"/>
  </r>
  <r>
    <x v="164"/>
    <n v="2533"/>
    <x v="2"/>
  </r>
  <r>
    <x v="165"/>
    <n v="2546"/>
    <x v="2"/>
  </r>
  <r>
    <x v="166"/>
    <n v="2569"/>
    <x v="2"/>
  </r>
  <r>
    <x v="167"/>
    <n v="2579"/>
    <x v="2"/>
  </r>
  <r>
    <x v="168"/>
    <n v="2585"/>
    <x v="2"/>
  </r>
  <r>
    <x v="169"/>
    <n v="2600"/>
    <x v="2"/>
  </r>
  <r>
    <x v="170"/>
    <n v="2624"/>
    <x v="2"/>
  </r>
  <r>
    <x v="171"/>
    <n v="2642"/>
    <x v="2"/>
  </r>
  <r>
    <x v="172"/>
    <n v="2642"/>
    <x v="2"/>
  </r>
  <r>
    <x v="173"/>
    <n v="2640"/>
    <x v="2"/>
  </r>
  <r>
    <x v="174"/>
    <n v="2646"/>
    <x v="2"/>
  </r>
  <r>
    <x v="175"/>
    <n v="2624"/>
    <x v="2"/>
  </r>
  <r>
    <x v="176"/>
    <n v="2630"/>
    <x v="2"/>
  </r>
  <r>
    <x v="177"/>
    <n v="2628"/>
    <x v="2"/>
  </r>
  <r>
    <x v="178"/>
    <n v="2633"/>
    <x v="2"/>
  </r>
  <r>
    <x v="179"/>
    <n v="2603"/>
    <x v="2"/>
  </r>
  <r>
    <x v="180"/>
    <n v="2578"/>
    <x v="2"/>
  </r>
  <r>
    <x v="181"/>
    <n v="2575"/>
    <x v="2"/>
  </r>
  <r>
    <x v="182"/>
    <n v="2588"/>
    <x v="2"/>
  </r>
  <r>
    <x v="183"/>
    <n v="2587"/>
    <x v="2"/>
  </r>
  <r>
    <x v="184"/>
    <n v="2594"/>
    <x v="2"/>
  </r>
  <r>
    <x v="185"/>
    <n v="2590"/>
    <x v="2"/>
  </r>
  <r>
    <x v="186"/>
    <n v="2578"/>
    <x v="2"/>
  </r>
  <r>
    <x v="187"/>
    <n v="2561"/>
    <x v="2"/>
  </r>
  <r>
    <x v="188"/>
    <n v="2553"/>
    <x v="2"/>
  </r>
  <r>
    <x v="189"/>
    <n v="2557"/>
    <x v="2"/>
  </r>
  <r>
    <x v="190"/>
    <n v="2575"/>
    <x v="2"/>
  </r>
  <r>
    <x v="191"/>
    <n v="2569"/>
    <x v="2"/>
  </r>
  <r>
    <x v="192"/>
    <n v="2565"/>
    <x v="2"/>
  </r>
  <r>
    <x v="193"/>
    <n v="2569"/>
    <x v="2"/>
  </r>
  <r>
    <x v="194"/>
    <n v="2596"/>
    <x v="2"/>
  </r>
  <r>
    <x v="195"/>
    <n v="2611"/>
    <x v="2"/>
  </r>
  <r>
    <x v="196"/>
    <n v="2624"/>
    <x v="2"/>
  </r>
  <r>
    <x v="197"/>
    <n v="2642"/>
    <x v="2"/>
  </r>
  <r>
    <x v="198"/>
    <n v="2647"/>
    <x v="2"/>
  </r>
  <r>
    <x v="199"/>
    <n v="2628"/>
    <x v="2"/>
  </r>
  <r>
    <x v="200"/>
    <n v="2624"/>
    <x v="2"/>
  </r>
  <r>
    <x v="201"/>
    <n v="2624"/>
    <x v="2"/>
  </r>
  <r>
    <x v="202"/>
    <n v="2654"/>
    <x v="2"/>
  </r>
  <r>
    <x v="203"/>
    <n v="2644"/>
    <x v="2"/>
  </r>
  <r>
    <x v="204"/>
    <n v="2665"/>
    <x v="2"/>
  </r>
  <r>
    <x v="205"/>
    <n v="2670"/>
    <x v="2"/>
  </r>
  <r>
    <x v="206"/>
    <n v="2700"/>
    <x v="2"/>
  </r>
  <r>
    <x v="207"/>
    <n v="2736"/>
    <x v="2"/>
  </r>
  <r>
    <x v="208"/>
    <n v="2733"/>
    <x v="2"/>
  </r>
  <r>
    <x v="209"/>
    <n v="2760"/>
    <x v="2"/>
  </r>
  <r>
    <x v="210"/>
    <n v="2748"/>
    <x v="2"/>
  </r>
  <r>
    <x v="211"/>
    <n v="2739"/>
    <x v="2"/>
  </r>
  <r>
    <x v="212"/>
    <n v="2734"/>
    <x v="2"/>
  </r>
  <r>
    <x v="213"/>
    <n v="2764"/>
    <x v="2"/>
  </r>
  <r>
    <x v="214"/>
    <n v="2805"/>
    <x v="2"/>
  </r>
  <r>
    <x v="215"/>
    <n v="2778"/>
    <x v="2"/>
  </r>
  <r>
    <x v="216"/>
    <n v="2753"/>
    <x v="2"/>
  </r>
  <r>
    <x v="217"/>
    <n v="2759"/>
    <x v="2"/>
  </r>
  <r>
    <x v="218"/>
    <n v="2794"/>
    <x v="2"/>
  </r>
  <r>
    <x v="219"/>
    <n v="2783"/>
    <x v="2"/>
  </r>
  <r>
    <x v="220"/>
    <n v="2754"/>
    <x v="2"/>
  </r>
  <r>
    <x v="221"/>
    <n v="2769"/>
    <x v="2"/>
  </r>
  <r>
    <x v="222"/>
    <n v="2776"/>
    <x v="2"/>
  </r>
  <r>
    <x v="223"/>
    <n v="2729"/>
    <x v="2"/>
  </r>
  <r>
    <x v="224"/>
    <n v="2731"/>
    <x v="2"/>
  </r>
  <r>
    <x v="225"/>
    <n v="2702"/>
    <x v="2"/>
  </r>
  <r>
    <x v="226"/>
    <n v="2736"/>
    <x v="2"/>
  </r>
  <r>
    <x v="227"/>
    <n v="2625"/>
    <x v="2"/>
  </r>
  <r>
    <x v="228"/>
    <n v="2666"/>
    <x v="2"/>
  </r>
  <r>
    <x v="229"/>
    <n v="2591"/>
    <x v="2"/>
  </r>
  <r>
    <x v="230"/>
    <n v="2610"/>
    <x v="2"/>
  </r>
  <r>
    <x v="231"/>
    <n v="2634"/>
    <x v="2"/>
  </r>
  <r>
    <x v="232"/>
    <n v="2596"/>
    <x v="2"/>
  </r>
  <r>
    <x v="233"/>
    <n v="2547"/>
    <x v="2"/>
  </r>
  <r>
    <x v="234"/>
    <n v="2614"/>
    <x v="2"/>
  </r>
  <r>
    <x v="235"/>
    <n v="2765"/>
    <x v="2"/>
  </r>
  <r>
    <x v="236"/>
    <n v="268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97FE4-235E-432C-A3C1-26590BFCF7BC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C17" firstHeaderRow="1" firstDataRow="2" firstDataCol="1"/>
  <pivotFields count="6">
    <pivotField axis="axisRow" numFmtId="17" showAll="0">
      <items count="238"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3" showAll="0"/>
    <pivotField axis="axisCol" showAll="0">
      <items count="4">
        <item h="1" x="2"/>
        <item h="1"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x="2"/>
        <item sd="0" x="3"/>
        <item sd="0" x="4"/>
        <item sd="0" x="5"/>
        <item t="default"/>
      </items>
    </pivotField>
    <pivotField showAll="0">
      <items count="23">
        <item h="1" sd="0" x="0"/>
        <item h="1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t="default"/>
      </items>
    </pivotField>
  </pivotFields>
  <rowFields count="1">
    <field x="0"/>
  </rowFields>
  <rowItems count="13"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Fields count="1">
    <field x="2"/>
  </colFields>
  <colItems count="2">
    <i>
      <x v="2"/>
    </i>
    <i t="grand">
      <x/>
    </i>
  </colItems>
  <dataFields count="1">
    <dataField name="Promedio de Precio" fld="1" subtotal="average" baseField="0" baseItem="108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80489-D785-49EB-AD26-C24D4FD712D8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:K15" firstHeaderRow="1" firstDataRow="2" firstDataCol="1"/>
  <pivotFields count="6">
    <pivotField axis="axisRow" numFmtId="17" showAll="0">
      <items count="238"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3" showAll="0"/>
    <pivotField axis="axisCol" showAll="0">
      <items count="4">
        <item h="1" x="2"/>
        <item h="1" x="0"/>
        <item x="1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22">
        <item h="1" sd="0" x="0"/>
        <item h="1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sd="0" x="20"/>
        <item h="1" sd="0" x="21"/>
      </items>
    </pivotField>
  </pivotFields>
  <rowFields count="1">
    <field x="0"/>
  </rowFields>
  <rowItems count="10"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 t="grand">
      <x/>
    </i>
  </rowItems>
  <colFields count="1">
    <field x="2"/>
  </colFields>
  <colItems count="2">
    <i>
      <x v="2"/>
    </i>
    <i t="grand">
      <x/>
    </i>
  </colItems>
  <dataFields count="1">
    <dataField name="Promedio de Precio" fld="1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2" xr10:uid="{C966E5C4-90C9-49F6-92FF-7CEE43A5EDE0}" sourceName="Ciudad">
  <data>
    <tabular pivotCacheId="404199863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Mes2" xr10:uid="{8C15C9E8-8129-408E-B07C-FC1A7D8D08C3}" sourceName="Años (Mes)">
  <data>
    <tabular pivotCacheId="404199863">
      <items count="22"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0" s="1" nd="1"/>
        <i x="21" s="1" nd="1"/>
        <i x="1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11" xr10:uid="{83C5061C-859A-4866-8AB8-3C70E98AD768}" sourceName="Ciudad">
  <data>
    <tabular pivotCacheId="404199863">
      <items count="3">
        <i x="2"/>
        <i x="0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Mes11" xr10:uid="{24930C10-4914-44D5-997F-4538ACA0B399}" sourceName="Años (Mes)">
  <data>
    <tabular pivotCacheId="404199863">
      <items count="22"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 s="1"/>
        <i x="19"/>
        <i x="20"/>
        <i x="0" nd="1"/>
        <i x="21" nd="1"/>
        <i x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 2" xr10:uid="{173E7CC8-F034-442A-857A-F40287CD3532}" cache="SegmentaciónDeDatos_Ciudad2" caption="Ciudad" rowHeight="257175"/>
  <slicer name="Años (Mes) 2" xr10:uid="{6CD03686-EBED-4E5C-9A5B-52A38EDC17DC}" cache="SegmentaciónDeDatos_Años__Mes2" caption="Años (Mes)" rowHeight="257175"/>
  <slicer name="Ciudad 3" xr10:uid="{78A0D2DB-D1F3-477E-A292-3DD9233570DE}" cache="SegmentaciónDeDatos_Ciudad11" caption="Ciudad" rowHeight="257175"/>
  <slicer name="Años (Mes) 3" xr10:uid="{E86D0939-2B36-4577-B2D5-CF0B9FD8F235}" cache="SegmentaciónDeDatos_Años__Mes11" caption="Años (Mes)" startItem="8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A314-BB79-4A68-BF03-19789E13554F}">
  <dimension ref="D1:F695"/>
  <sheetViews>
    <sheetView workbookViewId="0">
      <selection activeCell="D1" sqref="D1:F695"/>
    </sheetView>
  </sheetViews>
  <sheetFormatPr baseColWidth="10" defaultRowHeight="15" x14ac:dyDescent="0.25"/>
  <sheetData>
    <row r="1" spans="4:6" x14ac:dyDescent="0.25">
      <c r="D1" t="s">
        <v>127</v>
      </c>
      <c r="E1" t="s">
        <v>138</v>
      </c>
      <c r="F1" t="s">
        <v>89</v>
      </c>
    </row>
    <row r="2" spans="4:6" x14ac:dyDescent="0.25">
      <c r="D2" s="19">
        <v>45901</v>
      </c>
      <c r="E2" s="18">
        <v>3982</v>
      </c>
      <c r="F2" t="s">
        <v>116</v>
      </c>
    </row>
    <row r="3" spans="4:6" x14ac:dyDescent="0.25">
      <c r="D3" s="19">
        <v>45870</v>
      </c>
      <c r="E3" s="18">
        <v>3842</v>
      </c>
      <c r="F3" t="s">
        <v>116</v>
      </c>
    </row>
    <row r="4" spans="4:6" x14ac:dyDescent="0.25">
      <c r="D4" s="19">
        <v>45839</v>
      </c>
      <c r="E4" s="18">
        <v>3794</v>
      </c>
      <c r="F4" t="s">
        <v>116</v>
      </c>
    </row>
    <row r="5" spans="4:6" x14ac:dyDescent="0.25">
      <c r="D5" s="19">
        <v>45809</v>
      </c>
      <c r="E5" s="18">
        <v>3775</v>
      </c>
      <c r="F5" t="s">
        <v>116</v>
      </c>
    </row>
    <row r="6" spans="4:6" x14ac:dyDescent="0.25">
      <c r="D6" s="19">
        <v>45778</v>
      </c>
      <c r="E6" s="18">
        <v>3718</v>
      </c>
      <c r="F6" t="s">
        <v>116</v>
      </c>
    </row>
    <row r="7" spans="4:6" x14ac:dyDescent="0.25">
      <c r="D7" s="19">
        <v>45748</v>
      </c>
      <c r="E7" s="18">
        <v>3671</v>
      </c>
      <c r="F7" t="s">
        <v>116</v>
      </c>
    </row>
    <row r="8" spans="4:6" x14ac:dyDescent="0.25">
      <c r="D8" s="19">
        <v>45717</v>
      </c>
      <c r="E8" s="18">
        <v>3615</v>
      </c>
      <c r="F8" t="s">
        <v>116</v>
      </c>
    </row>
    <row r="9" spans="4:6" x14ac:dyDescent="0.25">
      <c r="D9" s="19">
        <v>45689</v>
      </c>
      <c r="E9" s="18">
        <v>3566</v>
      </c>
      <c r="F9" t="s">
        <v>116</v>
      </c>
    </row>
    <row r="10" spans="4:6" x14ac:dyDescent="0.25">
      <c r="D10" s="19">
        <v>45658</v>
      </c>
      <c r="E10" s="18">
        <v>3522</v>
      </c>
      <c r="F10" t="s">
        <v>116</v>
      </c>
    </row>
    <row r="11" spans="4:6" x14ac:dyDescent="0.25">
      <c r="D11" s="19">
        <v>45627</v>
      </c>
      <c r="E11" s="18">
        <v>3507</v>
      </c>
      <c r="F11" t="s">
        <v>116</v>
      </c>
    </row>
    <row r="12" spans="4:6" x14ac:dyDescent="0.25">
      <c r="D12" s="19">
        <v>45597</v>
      </c>
      <c r="E12" s="18">
        <v>3468</v>
      </c>
      <c r="F12" t="s">
        <v>116</v>
      </c>
    </row>
    <row r="13" spans="4:6" x14ac:dyDescent="0.25">
      <c r="D13" s="19">
        <v>45566</v>
      </c>
      <c r="E13" s="18">
        <v>3436</v>
      </c>
      <c r="F13" t="s">
        <v>116</v>
      </c>
    </row>
    <row r="14" spans="4:6" x14ac:dyDescent="0.25">
      <c r="D14" s="19">
        <v>45536</v>
      </c>
      <c r="E14" s="18">
        <v>3397</v>
      </c>
      <c r="F14" t="s">
        <v>116</v>
      </c>
    </row>
    <row r="15" spans="4:6" x14ac:dyDescent="0.25">
      <c r="D15" s="19">
        <v>45505</v>
      </c>
      <c r="E15" s="18">
        <v>3377</v>
      </c>
      <c r="F15" t="s">
        <v>116</v>
      </c>
    </row>
    <row r="16" spans="4:6" x14ac:dyDescent="0.25">
      <c r="D16" s="19">
        <v>45474</v>
      </c>
      <c r="E16" s="18">
        <v>3325</v>
      </c>
      <c r="F16" t="s">
        <v>116</v>
      </c>
    </row>
    <row r="17" spans="4:6" x14ac:dyDescent="0.25">
      <c r="D17" s="19">
        <v>45444</v>
      </c>
      <c r="E17" s="18">
        <v>3282</v>
      </c>
      <c r="F17" t="s">
        <v>116</v>
      </c>
    </row>
    <row r="18" spans="4:6" x14ac:dyDescent="0.25">
      <c r="D18" s="19">
        <v>45413</v>
      </c>
      <c r="E18" s="18">
        <v>3226</v>
      </c>
      <c r="F18" t="s">
        <v>116</v>
      </c>
    </row>
    <row r="19" spans="4:6" x14ac:dyDescent="0.25">
      <c r="D19" s="19">
        <v>45383</v>
      </c>
      <c r="E19" s="18">
        <v>3179</v>
      </c>
      <c r="F19" t="s">
        <v>116</v>
      </c>
    </row>
    <row r="20" spans="4:6" x14ac:dyDescent="0.25">
      <c r="D20" s="19">
        <v>45352</v>
      </c>
      <c r="E20" s="18">
        <v>3143</v>
      </c>
      <c r="F20" t="s">
        <v>116</v>
      </c>
    </row>
    <row r="21" spans="4:6" x14ac:dyDescent="0.25">
      <c r="D21" s="19">
        <v>45323</v>
      </c>
      <c r="E21" s="18">
        <v>3113</v>
      </c>
      <c r="F21" t="s">
        <v>116</v>
      </c>
    </row>
    <row r="22" spans="4:6" x14ac:dyDescent="0.25">
      <c r="D22" s="19">
        <v>45292</v>
      </c>
      <c r="E22" s="18">
        <v>3099</v>
      </c>
      <c r="F22" t="s">
        <v>116</v>
      </c>
    </row>
    <row r="23" spans="4:6" x14ac:dyDescent="0.25">
      <c r="D23" s="19">
        <v>45261</v>
      </c>
      <c r="E23" s="18">
        <v>3079</v>
      </c>
      <c r="F23" t="s">
        <v>116</v>
      </c>
    </row>
    <row r="24" spans="4:6" x14ac:dyDescent="0.25">
      <c r="D24" s="19">
        <v>45231</v>
      </c>
      <c r="E24" s="18">
        <v>3051</v>
      </c>
      <c r="F24" t="s">
        <v>116</v>
      </c>
    </row>
    <row r="25" spans="4:6" x14ac:dyDescent="0.25">
      <c r="D25" s="19">
        <v>45200</v>
      </c>
      <c r="E25" s="18">
        <v>3049</v>
      </c>
      <c r="F25" t="s">
        <v>116</v>
      </c>
    </row>
    <row r="26" spans="4:6" x14ac:dyDescent="0.25">
      <c r="D26" s="19">
        <v>45170</v>
      </c>
      <c r="E26" s="18">
        <v>3037</v>
      </c>
      <c r="F26" t="s">
        <v>116</v>
      </c>
    </row>
    <row r="27" spans="4:6" x14ac:dyDescent="0.25">
      <c r="D27" s="19">
        <v>45139</v>
      </c>
      <c r="E27" s="18">
        <v>3002</v>
      </c>
      <c r="F27" t="s">
        <v>116</v>
      </c>
    </row>
    <row r="28" spans="4:6" x14ac:dyDescent="0.25">
      <c r="D28" s="19">
        <v>45108</v>
      </c>
      <c r="E28" s="18">
        <v>2964</v>
      </c>
      <c r="F28" t="s">
        <v>116</v>
      </c>
    </row>
    <row r="29" spans="4:6" x14ac:dyDescent="0.25">
      <c r="D29" s="19">
        <v>45078</v>
      </c>
      <c r="E29" s="18">
        <v>2949</v>
      </c>
      <c r="F29" t="s">
        <v>116</v>
      </c>
    </row>
    <row r="30" spans="4:6" x14ac:dyDescent="0.25">
      <c r="D30" s="19">
        <v>45047</v>
      </c>
      <c r="E30" s="18">
        <v>2918</v>
      </c>
      <c r="F30" t="s">
        <v>116</v>
      </c>
    </row>
    <row r="31" spans="4:6" x14ac:dyDescent="0.25">
      <c r="D31" s="19">
        <v>45017</v>
      </c>
      <c r="E31" s="18">
        <v>2889</v>
      </c>
      <c r="F31" t="s">
        <v>116</v>
      </c>
    </row>
    <row r="32" spans="4:6" x14ac:dyDescent="0.25">
      <c r="D32" s="19">
        <v>44986</v>
      </c>
      <c r="E32" s="18">
        <v>2849</v>
      </c>
      <c r="F32" t="s">
        <v>116</v>
      </c>
    </row>
    <row r="33" spans="4:6" x14ac:dyDescent="0.25">
      <c r="D33" s="19">
        <v>44958</v>
      </c>
      <c r="E33" s="18">
        <v>2829</v>
      </c>
      <c r="F33" t="s">
        <v>116</v>
      </c>
    </row>
    <row r="34" spans="4:6" x14ac:dyDescent="0.25">
      <c r="D34" s="19">
        <v>44927</v>
      </c>
      <c r="E34" s="18">
        <v>2798</v>
      </c>
      <c r="F34" t="s">
        <v>116</v>
      </c>
    </row>
    <row r="35" spans="4:6" x14ac:dyDescent="0.25">
      <c r="D35" s="19">
        <v>44896</v>
      </c>
      <c r="E35" s="18">
        <v>2766</v>
      </c>
      <c r="F35" t="s">
        <v>116</v>
      </c>
    </row>
    <row r="36" spans="4:6" x14ac:dyDescent="0.25">
      <c r="D36" s="19">
        <v>44866</v>
      </c>
      <c r="E36" s="18">
        <v>2756</v>
      </c>
      <c r="F36" t="s">
        <v>116</v>
      </c>
    </row>
    <row r="37" spans="4:6" x14ac:dyDescent="0.25">
      <c r="D37" s="19">
        <v>44835</v>
      </c>
      <c r="E37" s="18">
        <v>2747</v>
      </c>
      <c r="F37" t="s">
        <v>116</v>
      </c>
    </row>
    <row r="38" spans="4:6" x14ac:dyDescent="0.25">
      <c r="D38" s="19">
        <v>44805</v>
      </c>
      <c r="E38" s="18">
        <v>2722</v>
      </c>
      <c r="F38" t="s">
        <v>116</v>
      </c>
    </row>
    <row r="39" spans="4:6" x14ac:dyDescent="0.25">
      <c r="D39" s="19">
        <v>44774</v>
      </c>
      <c r="E39" s="18">
        <v>2687</v>
      </c>
      <c r="F39" t="s">
        <v>116</v>
      </c>
    </row>
    <row r="40" spans="4:6" x14ac:dyDescent="0.25">
      <c r="D40" s="19">
        <v>44743</v>
      </c>
      <c r="E40" s="18">
        <v>2651</v>
      </c>
      <c r="F40" t="s">
        <v>116</v>
      </c>
    </row>
    <row r="41" spans="4:6" x14ac:dyDescent="0.25">
      <c r="D41" s="19">
        <v>44713</v>
      </c>
      <c r="E41" s="18">
        <v>2618</v>
      </c>
      <c r="F41" t="s">
        <v>116</v>
      </c>
    </row>
    <row r="42" spans="4:6" x14ac:dyDescent="0.25">
      <c r="D42" s="19">
        <v>44682</v>
      </c>
      <c r="E42" s="18">
        <v>2589</v>
      </c>
      <c r="F42" t="s">
        <v>116</v>
      </c>
    </row>
    <row r="43" spans="4:6" x14ac:dyDescent="0.25">
      <c r="D43" s="19">
        <v>44652</v>
      </c>
      <c r="E43" s="18">
        <v>2543</v>
      </c>
      <c r="F43" t="s">
        <v>116</v>
      </c>
    </row>
    <row r="44" spans="4:6" x14ac:dyDescent="0.25">
      <c r="D44" s="19">
        <v>44621</v>
      </c>
      <c r="E44" s="18">
        <v>2503</v>
      </c>
      <c r="F44" t="s">
        <v>116</v>
      </c>
    </row>
    <row r="45" spans="4:6" x14ac:dyDescent="0.25">
      <c r="D45" s="19">
        <v>44593</v>
      </c>
      <c r="E45" s="18">
        <v>2481</v>
      </c>
      <c r="F45" t="s">
        <v>116</v>
      </c>
    </row>
    <row r="46" spans="4:6" x14ac:dyDescent="0.25">
      <c r="D46" s="19">
        <v>44562</v>
      </c>
      <c r="E46" s="18">
        <v>2463</v>
      </c>
      <c r="F46" t="s">
        <v>116</v>
      </c>
    </row>
    <row r="47" spans="4:6" x14ac:dyDescent="0.25">
      <c r="D47" s="19">
        <v>44531</v>
      </c>
      <c r="E47" s="18">
        <v>2446</v>
      </c>
      <c r="F47" t="s">
        <v>116</v>
      </c>
    </row>
    <row r="48" spans="4:6" x14ac:dyDescent="0.25">
      <c r="D48" s="19">
        <v>44501</v>
      </c>
      <c r="E48" s="18">
        <v>2438</v>
      </c>
      <c r="F48" t="s">
        <v>116</v>
      </c>
    </row>
    <row r="49" spans="4:6" x14ac:dyDescent="0.25">
      <c r="D49" s="19">
        <v>44470</v>
      </c>
      <c r="E49" s="18">
        <v>2442</v>
      </c>
      <c r="F49" t="s">
        <v>116</v>
      </c>
    </row>
    <row r="50" spans="4:6" x14ac:dyDescent="0.25">
      <c r="D50" s="19">
        <v>44440</v>
      </c>
      <c r="E50" s="18">
        <v>2418</v>
      </c>
      <c r="F50" t="s">
        <v>116</v>
      </c>
    </row>
    <row r="51" spans="4:6" x14ac:dyDescent="0.25">
      <c r="D51" s="19">
        <v>44409</v>
      </c>
      <c r="E51" s="18">
        <v>2402</v>
      </c>
      <c r="F51" t="s">
        <v>116</v>
      </c>
    </row>
    <row r="52" spans="4:6" x14ac:dyDescent="0.25">
      <c r="D52" s="19">
        <v>44378</v>
      </c>
      <c r="E52" s="18">
        <v>2385</v>
      </c>
      <c r="F52" t="s">
        <v>116</v>
      </c>
    </row>
    <row r="53" spans="4:6" x14ac:dyDescent="0.25">
      <c r="D53" s="19">
        <v>44348</v>
      </c>
      <c r="E53" s="18">
        <v>2367</v>
      </c>
      <c r="F53" t="s">
        <v>116</v>
      </c>
    </row>
    <row r="54" spans="4:6" x14ac:dyDescent="0.25">
      <c r="D54" s="19">
        <v>44317</v>
      </c>
      <c r="E54" s="18">
        <v>2324</v>
      </c>
      <c r="F54" t="s">
        <v>116</v>
      </c>
    </row>
    <row r="55" spans="4:6" x14ac:dyDescent="0.25">
      <c r="D55" s="19">
        <v>44287</v>
      </c>
      <c r="E55" s="18">
        <v>2308</v>
      </c>
      <c r="F55" t="s">
        <v>116</v>
      </c>
    </row>
    <row r="56" spans="4:6" x14ac:dyDescent="0.25">
      <c r="D56" s="19">
        <v>44256</v>
      </c>
      <c r="E56" s="18">
        <v>2298</v>
      </c>
      <c r="F56" t="s">
        <v>116</v>
      </c>
    </row>
    <row r="57" spans="4:6" x14ac:dyDescent="0.25">
      <c r="D57" s="19">
        <v>44228</v>
      </c>
      <c r="E57" s="18">
        <v>2274</v>
      </c>
      <c r="F57" t="s">
        <v>116</v>
      </c>
    </row>
    <row r="58" spans="4:6" x14ac:dyDescent="0.25">
      <c r="D58" s="19">
        <v>44197</v>
      </c>
      <c r="E58" s="18">
        <v>2280</v>
      </c>
      <c r="F58" t="s">
        <v>116</v>
      </c>
    </row>
    <row r="59" spans="4:6" x14ac:dyDescent="0.25">
      <c r="D59" s="19">
        <v>44166</v>
      </c>
      <c r="E59" s="18">
        <v>2268</v>
      </c>
      <c r="F59" t="s">
        <v>116</v>
      </c>
    </row>
    <row r="60" spans="4:6" x14ac:dyDescent="0.25">
      <c r="D60" s="19">
        <v>44136</v>
      </c>
      <c r="E60" s="18">
        <v>2259</v>
      </c>
      <c r="F60" t="s">
        <v>116</v>
      </c>
    </row>
    <row r="61" spans="4:6" x14ac:dyDescent="0.25">
      <c r="D61" s="19">
        <v>44105</v>
      </c>
      <c r="E61" s="18">
        <v>2253</v>
      </c>
      <c r="F61" t="s">
        <v>116</v>
      </c>
    </row>
    <row r="62" spans="4:6" x14ac:dyDescent="0.25">
      <c r="D62" s="19">
        <v>44075</v>
      </c>
      <c r="E62" s="18">
        <v>2238</v>
      </c>
      <c r="F62" t="s">
        <v>116</v>
      </c>
    </row>
    <row r="63" spans="4:6" x14ac:dyDescent="0.25">
      <c r="D63" s="19">
        <v>44044</v>
      </c>
      <c r="E63" s="18">
        <v>2233</v>
      </c>
      <c r="F63" t="s">
        <v>116</v>
      </c>
    </row>
    <row r="64" spans="4:6" x14ac:dyDescent="0.25">
      <c r="D64" s="19">
        <v>44013</v>
      </c>
      <c r="E64" s="18">
        <v>2218</v>
      </c>
      <c r="F64" t="s">
        <v>116</v>
      </c>
    </row>
    <row r="65" spans="4:6" x14ac:dyDescent="0.25">
      <c r="D65" s="19">
        <v>43983</v>
      </c>
      <c r="E65" s="18">
        <v>2234</v>
      </c>
      <c r="F65" t="s">
        <v>116</v>
      </c>
    </row>
    <row r="66" spans="4:6" x14ac:dyDescent="0.25">
      <c r="D66" s="19">
        <v>43952</v>
      </c>
      <c r="E66" s="18">
        <v>2245</v>
      </c>
      <c r="F66" t="s">
        <v>116</v>
      </c>
    </row>
    <row r="67" spans="4:6" x14ac:dyDescent="0.25">
      <c r="D67" s="19">
        <v>43922</v>
      </c>
      <c r="E67" s="18">
        <v>2222</v>
      </c>
      <c r="F67" t="s">
        <v>116</v>
      </c>
    </row>
    <row r="68" spans="4:6" x14ac:dyDescent="0.25">
      <c r="D68" s="19">
        <v>43891</v>
      </c>
      <c r="E68" s="18">
        <v>2215</v>
      </c>
      <c r="F68" t="s">
        <v>116</v>
      </c>
    </row>
    <row r="69" spans="4:6" x14ac:dyDescent="0.25">
      <c r="D69" s="19">
        <v>43862</v>
      </c>
      <c r="E69" s="18">
        <v>2207</v>
      </c>
      <c r="F69" t="s">
        <v>116</v>
      </c>
    </row>
    <row r="70" spans="4:6" x14ac:dyDescent="0.25">
      <c r="D70" s="19">
        <v>43831</v>
      </c>
      <c r="E70" s="18">
        <v>2208</v>
      </c>
      <c r="F70" t="s">
        <v>116</v>
      </c>
    </row>
    <row r="71" spans="4:6" x14ac:dyDescent="0.25">
      <c r="D71" s="19">
        <v>43800</v>
      </c>
      <c r="E71" s="18">
        <v>2191</v>
      </c>
      <c r="F71" t="s">
        <v>116</v>
      </c>
    </row>
    <row r="72" spans="4:6" x14ac:dyDescent="0.25">
      <c r="D72" s="19">
        <v>43770</v>
      </c>
      <c r="E72" s="18">
        <v>2184</v>
      </c>
      <c r="F72" t="s">
        <v>116</v>
      </c>
    </row>
    <row r="73" spans="4:6" x14ac:dyDescent="0.25">
      <c r="D73" s="19">
        <v>43739</v>
      </c>
      <c r="E73" s="18">
        <v>2166</v>
      </c>
      <c r="F73" t="s">
        <v>116</v>
      </c>
    </row>
    <row r="74" spans="4:6" x14ac:dyDescent="0.25">
      <c r="D74" s="19">
        <v>43709</v>
      </c>
      <c r="E74" s="18">
        <v>2150</v>
      </c>
      <c r="F74" t="s">
        <v>116</v>
      </c>
    </row>
    <row r="75" spans="4:6" x14ac:dyDescent="0.25">
      <c r="D75" s="19">
        <v>43678</v>
      </c>
      <c r="E75" s="18">
        <v>2139</v>
      </c>
      <c r="F75" t="s">
        <v>116</v>
      </c>
    </row>
    <row r="76" spans="4:6" x14ac:dyDescent="0.25">
      <c r="D76" s="19">
        <v>43647</v>
      </c>
      <c r="E76" s="18">
        <v>2133</v>
      </c>
      <c r="F76" t="s">
        <v>116</v>
      </c>
    </row>
    <row r="77" spans="4:6" x14ac:dyDescent="0.25">
      <c r="D77" s="19">
        <v>43617</v>
      </c>
      <c r="E77" s="18">
        <v>2116</v>
      </c>
      <c r="F77" t="s">
        <v>116</v>
      </c>
    </row>
    <row r="78" spans="4:6" x14ac:dyDescent="0.25">
      <c r="D78" s="19">
        <v>43586</v>
      </c>
      <c r="E78" s="18">
        <v>2092</v>
      </c>
      <c r="F78" t="s">
        <v>116</v>
      </c>
    </row>
    <row r="79" spans="4:6" x14ac:dyDescent="0.25">
      <c r="D79" s="19">
        <v>43556</v>
      </c>
      <c r="E79" s="18">
        <v>2076</v>
      </c>
      <c r="F79" t="s">
        <v>116</v>
      </c>
    </row>
    <row r="80" spans="4:6" x14ac:dyDescent="0.25">
      <c r="D80" s="19">
        <v>43525</v>
      </c>
      <c r="E80" s="18">
        <v>2065</v>
      </c>
      <c r="F80" t="s">
        <v>116</v>
      </c>
    </row>
    <row r="81" spans="4:6" x14ac:dyDescent="0.25">
      <c r="D81" s="19">
        <v>43497</v>
      </c>
      <c r="E81" s="18">
        <v>2052</v>
      </c>
      <c r="F81" t="s">
        <v>116</v>
      </c>
    </row>
    <row r="82" spans="4:6" x14ac:dyDescent="0.25">
      <c r="D82" s="19">
        <v>43466</v>
      </c>
      <c r="E82" s="18">
        <v>2029</v>
      </c>
      <c r="F82" t="s">
        <v>116</v>
      </c>
    </row>
    <row r="83" spans="4:6" x14ac:dyDescent="0.25">
      <c r="D83" s="19">
        <v>43435</v>
      </c>
      <c r="E83" s="18">
        <v>2031</v>
      </c>
      <c r="F83" t="s">
        <v>116</v>
      </c>
    </row>
    <row r="84" spans="4:6" x14ac:dyDescent="0.25">
      <c r="D84" s="19">
        <v>43405</v>
      </c>
      <c r="E84" s="18">
        <v>2028</v>
      </c>
      <c r="F84" t="s">
        <v>116</v>
      </c>
    </row>
    <row r="85" spans="4:6" x14ac:dyDescent="0.25">
      <c r="D85" s="19">
        <v>43374</v>
      </c>
      <c r="E85" s="18">
        <v>2022</v>
      </c>
      <c r="F85" t="s">
        <v>116</v>
      </c>
    </row>
    <row r="86" spans="4:6" x14ac:dyDescent="0.25">
      <c r="D86" s="19">
        <v>43344</v>
      </c>
      <c r="E86" s="18">
        <v>1998</v>
      </c>
      <c r="F86" t="s">
        <v>116</v>
      </c>
    </row>
    <row r="87" spans="4:6" x14ac:dyDescent="0.25">
      <c r="D87" s="19">
        <v>43313</v>
      </c>
      <c r="E87" s="18">
        <v>1991</v>
      </c>
      <c r="F87" t="s">
        <v>116</v>
      </c>
    </row>
    <row r="88" spans="4:6" x14ac:dyDescent="0.25">
      <c r="D88" s="19">
        <v>43282</v>
      </c>
      <c r="E88" s="18">
        <v>1983</v>
      </c>
      <c r="F88" t="s">
        <v>116</v>
      </c>
    </row>
    <row r="89" spans="4:6" x14ac:dyDescent="0.25">
      <c r="D89" s="19">
        <v>43252</v>
      </c>
      <c r="E89" s="18">
        <v>1957</v>
      </c>
      <c r="F89" t="s">
        <v>116</v>
      </c>
    </row>
    <row r="90" spans="4:6" x14ac:dyDescent="0.25">
      <c r="D90" s="19">
        <v>43221</v>
      </c>
      <c r="E90" s="18">
        <v>1921</v>
      </c>
      <c r="F90" t="s">
        <v>116</v>
      </c>
    </row>
    <row r="91" spans="4:6" x14ac:dyDescent="0.25">
      <c r="D91" s="19">
        <v>43191</v>
      </c>
      <c r="E91" s="18">
        <v>1901</v>
      </c>
      <c r="F91" t="s">
        <v>116</v>
      </c>
    </row>
    <row r="92" spans="4:6" x14ac:dyDescent="0.25">
      <c r="D92" s="19">
        <v>43160</v>
      </c>
      <c r="E92" s="18">
        <v>1887</v>
      </c>
      <c r="F92" t="s">
        <v>116</v>
      </c>
    </row>
    <row r="93" spans="4:6" x14ac:dyDescent="0.25">
      <c r="D93" s="19">
        <v>43132</v>
      </c>
      <c r="E93" s="18">
        <v>1875</v>
      </c>
      <c r="F93" t="s">
        <v>116</v>
      </c>
    </row>
    <row r="94" spans="4:6" x14ac:dyDescent="0.25">
      <c r="D94" s="19">
        <v>43101</v>
      </c>
      <c r="E94" s="18">
        <v>1861</v>
      </c>
      <c r="F94" t="s">
        <v>116</v>
      </c>
    </row>
    <row r="95" spans="4:6" x14ac:dyDescent="0.25">
      <c r="D95" s="19">
        <v>43070</v>
      </c>
      <c r="E95" s="18">
        <v>1869</v>
      </c>
      <c r="F95" t="s">
        <v>116</v>
      </c>
    </row>
    <row r="96" spans="4:6" x14ac:dyDescent="0.25">
      <c r="D96" s="19">
        <v>43040</v>
      </c>
      <c r="E96" s="18">
        <v>1922</v>
      </c>
      <c r="F96" t="s">
        <v>116</v>
      </c>
    </row>
    <row r="97" spans="4:6" x14ac:dyDescent="0.25">
      <c r="D97" s="19">
        <v>43009</v>
      </c>
      <c r="E97" s="18">
        <v>1904</v>
      </c>
      <c r="F97" t="s">
        <v>116</v>
      </c>
    </row>
    <row r="98" spans="4:6" x14ac:dyDescent="0.25">
      <c r="D98" s="19">
        <v>42979</v>
      </c>
      <c r="E98" s="18">
        <v>1843</v>
      </c>
      <c r="F98" t="s">
        <v>116</v>
      </c>
    </row>
    <row r="99" spans="4:6" x14ac:dyDescent="0.25">
      <c r="D99" s="19">
        <v>42948</v>
      </c>
      <c r="E99" s="18">
        <v>1888</v>
      </c>
      <c r="F99" t="s">
        <v>116</v>
      </c>
    </row>
    <row r="100" spans="4:6" x14ac:dyDescent="0.25">
      <c r="D100" s="19">
        <v>42917</v>
      </c>
      <c r="E100" s="18">
        <v>1858</v>
      </c>
      <c r="F100" t="s">
        <v>116</v>
      </c>
    </row>
    <row r="101" spans="4:6" x14ac:dyDescent="0.25">
      <c r="D101" s="19">
        <v>42887</v>
      </c>
      <c r="E101" s="18">
        <v>1830</v>
      </c>
      <c r="F101" t="s">
        <v>116</v>
      </c>
    </row>
    <row r="102" spans="4:6" x14ac:dyDescent="0.25">
      <c r="D102" s="19">
        <v>42856</v>
      </c>
      <c r="E102" s="18">
        <v>1797</v>
      </c>
      <c r="F102" t="s">
        <v>116</v>
      </c>
    </row>
    <row r="103" spans="4:6" x14ac:dyDescent="0.25">
      <c r="D103" s="19">
        <v>42826</v>
      </c>
      <c r="E103" s="18">
        <v>1778</v>
      </c>
      <c r="F103" t="s">
        <v>116</v>
      </c>
    </row>
    <row r="104" spans="4:6" x14ac:dyDescent="0.25">
      <c r="D104" s="19">
        <v>42795</v>
      </c>
      <c r="E104" s="18">
        <v>1750</v>
      </c>
      <c r="F104" t="s">
        <v>116</v>
      </c>
    </row>
    <row r="105" spans="4:6" x14ac:dyDescent="0.25">
      <c r="D105" s="19">
        <v>42767</v>
      </c>
      <c r="E105" s="18">
        <v>1752</v>
      </c>
      <c r="F105" t="s">
        <v>116</v>
      </c>
    </row>
    <row r="106" spans="4:6" x14ac:dyDescent="0.25">
      <c r="D106" s="19">
        <v>42736</v>
      </c>
      <c r="E106" s="18">
        <v>1738</v>
      </c>
      <c r="F106" t="s">
        <v>116</v>
      </c>
    </row>
    <row r="107" spans="4:6" x14ac:dyDescent="0.25">
      <c r="D107" s="19">
        <v>42705</v>
      </c>
      <c r="E107" s="18">
        <v>1712</v>
      </c>
      <c r="F107" t="s">
        <v>116</v>
      </c>
    </row>
    <row r="108" spans="4:6" x14ac:dyDescent="0.25">
      <c r="D108" s="19">
        <v>42675</v>
      </c>
      <c r="E108" s="18">
        <v>1689</v>
      </c>
      <c r="F108" t="s">
        <v>116</v>
      </c>
    </row>
    <row r="109" spans="4:6" x14ac:dyDescent="0.25">
      <c r="D109" s="19">
        <v>42644</v>
      </c>
      <c r="E109" s="18">
        <v>1694</v>
      </c>
      <c r="F109" t="s">
        <v>116</v>
      </c>
    </row>
    <row r="110" spans="4:6" x14ac:dyDescent="0.25">
      <c r="D110" s="19">
        <v>42614</v>
      </c>
      <c r="E110" s="18">
        <v>1698</v>
      </c>
      <c r="F110" t="s">
        <v>116</v>
      </c>
    </row>
    <row r="111" spans="4:6" x14ac:dyDescent="0.25">
      <c r="D111" s="19">
        <v>42583</v>
      </c>
      <c r="E111" s="18">
        <v>1686</v>
      </c>
      <c r="F111" t="s">
        <v>116</v>
      </c>
    </row>
    <row r="112" spans="4:6" x14ac:dyDescent="0.25">
      <c r="D112" s="19">
        <v>42552</v>
      </c>
      <c r="E112" s="18">
        <v>1682</v>
      </c>
      <c r="F112" t="s">
        <v>116</v>
      </c>
    </row>
    <row r="113" spans="4:6" x14ac:dyDescent="0.25">
      <c r="D113" s="19">
        <v>42522</v>
      </c>
      <c r="E113" s="18">
        <v>1672</v>
      </c>
      <c r="F113" t="s">
        <v>116</v>
      </c>
    </row>
    <row r="114" spans="4:6" x14ac:dyDescent="0.25">
      <c r="D114" s="19">
        <v>42491</v>
      </c>
      <c r="E114" s="18">
        <v>1665</v>
      </c>
      <c r="F114" t="s">
        <v>116</v>
      </c>
    </row>
    <row r="115" spans="4:6" x14ac:dyDescent="0.25">
      <c r="D115" s="19">
        <v>42461</v>
      </c>
      <c r="E115" s="18">
        <v>1667</v>
      </c>
      <c r="F115" t="s">
        <v>116</v>
      </c>
    </row>
    <row r="116" spans="4:6" x14ac:dyDescent="0.25">
      <c r="D116" s="19">
        <v>42430</v>
      </c>
      <c r="E116" s="18">
        <v>1659</v>
      </c>
      <c r="F116" t="s">
        <v>116</v>
      </c>
    </row>
    <row r="117" spans="4:6" x14ac:dyDescent="0.25">
      <c r="D117" s="19">
        <v>42401</v>
      </c>
      <c r="E117" s="18">
        <v>1670</v>
      </c>
      <c r="F117" t="s">
        <v>116</v>
      </c>
    </row>
    <row r="118" spans="4:6" x14ac:dyDescent="0.25">
      <c r="D118" s="19">
        <v>42370</v>
      </c>
      <c r="E118" s="18">
        <v>1661</v>
      </c>
      <c r="F118" t="s">
        <v>116</v>
      </c>
    </row>
    <row r="119" spans="4:6" x14ac:dyDescent="0.25">
      <c r="D119" s="19">
        <v>42339</v>
      </c>
      <c r="E119" s="18">
        <v>1650</v>
      </c>
      <c r="F119" t="s">
        <v>116</v>
      </c>
    </row>
    <row r="120" spans="4:6" x14ac:dyDescent="0.25">
      <c r="D120" s="19">
        <v>42309</v>
      </c>
      <c r="E120" s="18">
        <v>1648</v>
      </c>
      <c r="F120" t="s">
        <v>116</v>
      </c>
    </row>
    <row r="121" spans="4:6" x14ac:dyDescent="0.25">
      <c r="D121" s="19">
        <v>42278</v>
      </c>
      <c r="E121" s="18">
        <v>1652</v>
      </c>
      <c r="F121" t="s">
        <v>116</v>
      </c>
    </row>
    <row r="122" spans="4:6" x14ac:dyDescent="0.25">
      <c r="D122" s="19">
        <v>42248</v>
      </c>
      <c r="E122" s="18">
        <v>1643</v>
      </c>
      <c r="F122" t="s">
        <v>116</v>
      </c>
    </row>
    <row r="123" spans="4:6" x14ac:dyDescent="0.25">
      <c r="D123" s="19">
        <v>42217</v>
      </c>
      <c r="E123" s="18">
        <v>1629</v>
      </c>
      <c r="F123" t="s">
        <v>116</v>
      </c>
    </row>
    <row r="124" spans="4:6" x14ac:dyDescent="0.25">
      <c r="D124" s="19">
        <v>42186</v>
      </c>
      <c r="E124" s="18">
        <v>1633</v>
      </c>
      <c r="F124" t="s">
        <v>116</v>
      </c>
    </row>
    <row r="125" spans="4:6" x14ac:dyDescent="0.25">
      <c r="D125" s="19">
        <v>42156</v>
      </c>
      <c r="E125" s="18">
        <v>1615</v>
      </c>
      <c r="F125" t="s">
        <v>116</v>
      </c>
    </row>
    <row r="126" spans="4:6" x14ac:dyDescent="0.25">
      <c r="D126" s="19">
        <v>42125</v>
      </c>
      <c r="E126" s="18">
        <v>1610</v>
      </c>
      <c r="F126" t="s">
        <v>116</v>
      </c>
    </row>
    <row r="127" spans="4:6" x14ac:dyDescent="0.25">
      <c r="D127" s="19">
        <v>42095</v>
      </c>
      <c r="E127" s="18">
        <v>1621</v>
      </c>
      <c r="F127" t="s">
        <v>116</v>
      </c>
    </row>
    <row r="128" spans="4:6" x14ac:dyDescent="0.25">
      <c r="D128" s="19">
        <v>42064</v>
      </c>
      <c r="E128" s="18">
        <v>1625</v>
      </c>
      <c r="F128" t="s">
        <v>116</v>
      </c>
    </row>
    <row r="129" spans="4:6" x14ac:dyDescent="0.25">
      <c r="D129" s="19">
        <v>42036</v>
      </c>
      <c r="E129" s="18">
        <v>1615</v>
      </c>
      <c r="F129" t="s">
        <v>116</v>
      </c>
    </row>
    <row r="130" spans="4:6" x14ac:dyDescent="0.25">
      <c r="D130" s="19">
        <v>42005</v>
      </c>
      <c r="E130" s="18">
        <v>1613</v>
      </c>
      <c r="F130" t="s">
        <v>116</v>
      </c>
    </row>
    <row r="131" spans="4:6" x14ac:dyDescent="0.25">
      <c r="D131" s="19">
        <v>41974</v>
      </c>
      <c r="E131" s="18">
        <v>1606</v>
      </c>
      <c r="F131" t="s">
        <v>116</v>
      </c>
    </row>
    <row r="132" spans="4:6" x14ac:dyDescent="0.25">
      <c r="D132" s="19">
        <v>41944</v>
      </c>
      <c r="E132" s="18">
        <v>1600</v>
      </c>
      <c r="F132" t="s">
        <v>116</v>
      </c>
    </row>
    <row r="133" spans="4:6" x14ac:dyDescent="0.25">
      <c r="D133" s="19">
        <v>41913</v>
      </c>
      <c r="E133" s="18">
        <v>1590</v>
      </c>
      <c r="F133" t="s">
        <v>116</v>
      </c>
    </row>
    <row r="134" spans="4:6" x14ac:dyDescent="0.25">
      <c r="D134" s="19">
        <v>41883</v>
      </c>
      <c r="E134" s="18">
        <v>1590</v>
      </c>
      <c r="F134" t="s">
        <v>116</v>
      </c>
    </row>
    <row r="135" spans="4:6" x14ac:dyDescent="0.25">
      <c r="D135" s="19">
        <v>41852</v>
      </c>
      <c r="E135" s="18">
        <v>1580</v>
      </c>
      <c r="F135" t="s">
        <v>116</v>
      </c>
    </row>
    <row r="136" spans="4:6" x14ac:dyDescent="0.25">
      <c r="D136" s="19">
        <v>41821</v>
      </c>
      <c r="E136" s="18">
        <v>1581</v>
      </c>
      <c r="F136" t="s">
        <v>116</v>
      </c>
    </row>
    <row r="137" spans="4:6" x14ac:dyDescent="0.25">
      <c r="D137" s="19">
        <v>41791</v>
      </c>
      <c r="E137" s="18">
        <v>1584</v>
      </c>
      <c r="F137" t="s">
        <v>116</v>
      </c>
    </row>
    <row r="138" spans="4:6" x14ac:dyDescent="0.25">
      <c r="D138" s="19">
        <v>41760</v>
      </c>
      <c r="E138" s="18">
        <v>1592</v>
      </c>
      <c r="F138" t="s">
        <v>116</v>
      </c>
    </row>
    <row r="139" spans="4:6" x14ac:dyDescent="0.25">
      <c r="D139" s="19">
        <v>41730</v>
      </c>
      <c r="E139" s="18">
        <v>1575</v>
      </c>
      <c r="F139" t="s">
        <v>116</v>
      </c>
    </row>
    <row r="140" spans="4:6" x14ac:dyDescent="0.25">
      <c r="D140" s="19">
        <v>41699</v>
      </c>
      <c r="E140" s="18">
        <v>1575</v>
      </c>
      <c r="F140" t="s">
        <v>116</v>
      </c>
    </row>
    <row r="141" spans="4:6" x14ac:dyDescent="0.25">
      <c r="D141" s="19">
        <v>41671</v>
      </c>
      <c r="E141" s="18">
        <v>1602</v>
      </c>
      <c r="F141" t="s">
        <v>116</v>
      </c>
    </row>
    <row r="142" spans="4:6" x14ac:dyDescent="0.25">
      <c r="D142" s="19">
        <v>41640</v>
      </c>
      <c r="E142" s="18">
        <v>1612</v>
      </c>
      <c r="F142" t="s">
        <v>116</v>
      </c>
    </row>
    <row r="143" spans="4:6" x14ac:dyDescent="0.25">
      <c r="D143" s="19">
        <v>41609</v>
      </c>
      <c r="E143" s="18">
        <v>1612</v>
      </c>
      <c r="F143" t="s">
        <v>116</v>
      </c>
    </row>
    <row r="144" spans="4:6" x14ac:dyDescent="0.25">
      <c r="D144" s="19">
        <v>41579</v>
      </c>
      <c r="E144" s="18">
        <v>1618</v>
      </c>
      <c r="F144" t="s">
        <v>116</v>
      </c>
    </row>
    <row r="145" spans="4:6" x14ac:dyDescent="0.25">
      <c r="D145" s="19">
        <v>41548</v>
      </c>
      <c r="E145" s="18">
        <v>1632</v>
      </c>
      <c r="F145" t="s">
        <v>116</v>
      </c>
    </row>
    <row r="146" spans="4:6" x14ac:dyDescent="0.25">
      <c r="D146" s="19">
        <v>41518</v>
      </c>
      <c r="E146" s="18">
        <v>1636</v>
      </c>
      <c r="F146" t="s">
        <v>116</v>
      </c>
    </row>
    <row r="147" spans="4:6" x14ac:dyDescent="0.25">
      <c r="D147" s="19">
        <v>41487</v>
      </c>
      <c r="E147" s="18">
        <v>1627</v>
      </c>
      <c r="F147" t="s">
        <v>116</v>
      </c>
    </row>
    <row r="148" spans="4:6" x14ac:dyDescent="0.25">
      <c r="D148" s="19">
        <v>41456</v>
      </c>
      <c r="E148" s="18">
        <v>1631</v>
      </c>
      <c r="F148" t="s">
        <v>116</v>
      </c>
    </row>
    <row r="149" spans="4:6" x14ac:dyDescent="0.25">
      <c r="D149" s="19">
        <v>41426</v>
      </c>
      <c r="E149" s="18">
        <v>1635</v>
      </c>
      <c r="F149" t="s">
        <v>116</v>
      </c>
    </row>
    <row r="150" spans="4:6" x14ac:dyDescent="0.25">
      <c r="D150" s="19">
        <v>41395</v>
      </c>
      <c r="E150" s="18">
        <v>1635</v>
      </c>
      <c r="F150" t="s">
        <v>116</v>
      </c>
    </row>
    <row r="151" spans="4:6" x14ac:dyDescent="0.25">
      <c r="D151" s="19">
        <v>41365</v>
      </c>
      <c r="E151" s="18">
        <v>1647</v>
      </c>
      <c r="F151" t="s">
        <v>116</v>
      </c>
    </row>
    <row r="152" spans="4:6" x14ac:dyDescent="0.25">
      <c r="D152" s="19">
        <v>41334</v>
      </c>
      <c r="E152" s="18">
        <v>1666</v>
      </c>
      <c r="F152" t="s">
        <v>116</v>
      </c>
    </row>
    <row r="153" spans="4:6" x14ac:dyDescent="0.25">
      <c r="D153" s="19">
        <v>41306</v>
      </c>
      <c r="E153" s="18">
        <v>1662</v>
      </c>
      <c r="F153" t="s">
        <v>116</v>
      </c>
    </row>
    <row r="154" spans="4:6" x14ac:dyDescent="0.25">
      <c r="D154" s="19">
        <v>41275</v>
      </c>
      <c r="E154" s="18">
        <v>1666</v>
      </c>
      <c r="F154" t="s">
        <v>116</v>
      </c>
    </row>
    <row r="155" spans="4:6" x14ac:dyDescent="0.25">
      <c r="D155" s="19">
        <v>41244</v>
      </c>
      <c r="E155" s="18">
        <v>1672</v>
      </c>
      <c r="F155" t="s">
        <v>116</v>
      </c>
    </row>
    <row r="156" spans="4:6" x14ac:dyDescent="0.25">
      <c r="D156" s="19">
        <v>41214</v>
      </c>
      <c r="E156" s="18">
        <v>1682</v>
      </c>
      <c r="F156" t="s">
        <v>116</v>
      </c>
    </row>
    <row r="157" spans="4:6" x14ac:dyDescent="0.25">
      <c r="D157" s="19">
        <v>41183</v>
      </c>
      <c r="E157" s="18">
        <v>1699</v>
      </c>
      <c r="F157" t="s">
        <v>116</v>
      </c>
    </row>
    <row r="158" spans="4:6" x14ac:dyDescent="0.25">
      <c r="D158" s="19">
        <v>41153</v>
      </c>
      <c r="E158" s="18">
        <v>1699</v>
      </c>
      <c r="F158" t="s">
        <v>116</v>
      </c>
    </row>
    <row r="159" spans="4:6" x14ac:dyDescent="0.25">
      <c r="D159" s="19">
        <v>41122</v>
      </c>
      <c r="E159" s="18">
        <v>1704</v>
      </c>
      <c r="F159" t="s">
        <v>116</v>
      </c>
    </row>
    <row r="160" spans="4:6" x14ac:dyDescent="0.25">
      <c r="D160" s="19">
        <v>41091</v>
      </c>
      <c r="E160" s="18">
        <v>1726</v>
      </c>
      <c r="F160" t="s">
        <v>116</v>
      </c>
    </row>
    <row r="161" spans="4:6" x14ac:dyDescent="0.25">
      <c r="D161" s="19">
        <v>41061</v>
      </c>
      <c r="E161" s="18">
        <v>1736</v>
      </c>
      <c r="F161" t="s">
        <v>116</v>
      </c>
    </row>
    <row r="162" spans="4:6" x14ac:dyDescent="0.25">
      <c r="D162" s="19">
        <v>41030</v>
      </c>
      <c r="E162" s="18">
        <v>1756</v>
      </c>
      <c r="F162" t="s">
        <v>116</v>
      </c>
    </row>
    <row r="163" spans="4:6" x14ac:dyDescent="0.25">
      <c r="D163" s="19">
        <v>41000</v>
      </c>
      <c r="E163" s="18">
        <v>1761</v>
      </c>
      <c r="F163" t="s">
        <v>116</v>
      </c>
    </row>
    <row r="164" spans="4:6" x14ac:dyDescent="0.25">
      <c r="D164" s="19">
        <v>40969</v>
      </c>
      <c r="E164" s="18">
        <v>1767</v>
      </c>
      <c r="F164" t="s">
        <v>116</v>
      </c>
    </row>
    <row r="165" spans="4:6" x14ac:dyDescent="0.25">
      <c r="D165" s="19">
        <v>40940</v>
      </c>
      <c r="E165" s="18">
        <v>1783</v>
      </c>
      <c r="F165" t="s">
        <v>116</v>
      </c>
    </row>
    <row r="166" spans="4:6" x14ac:dyDescent="0.25">
      <c r="D166" s="19">
        <v>40909</v>
      </c>
      <c r="E166" s="18">
        <v>1791</v>
      </c>
      <c r="F166" t="s">
        <v>116</v>
      </c>
    </row>
    <row r="167" spans="4:6" x14ac:dyDescent="0.25">
      <c r="D167" s="19">
        <v>40878</v>
      </c>
      <c r="E167" s="18">
        <v>1804</v>
      </c>
      <c r="F167" t="s">
        <v>116</v>
      </c>
    </row>
    <row r="168" spans="4:6" x14ac:dyDescent="0.25">
      <c r="D168" s="19">
        <v>40848</v>
      </c>
      <c r="E168" s="18">
        <v>1820</v>
      </c>
      <c r="F168" t="s">
        <v>116</v>
      </c>
    </row>
    <row r="169" spans="4:6" x14ac:dyDescent="0.25">
      <c r="D169" s="19">
        <v>40817</v>
      </c>
      <c r="E169" s="18">
        <v>1825</v>
      </c>
      <c r="F169" t="s">
        <v>116</v>
      </c>
    </row>
    <row r="170" spans="4:6" x14ac:dyDescent="0.25">
      <c r="D170" s="19">
        <v>40787</v>
      </c>
      <c r="E170" s="18">
        <v>1829</v>
      </c>
      <c r="F170" t="s">
        <v>116</v>
      </c>
    </row>
    <row r="171" spans="4:6" x14ac:dyDescent="0.25">
      <c r="D171" s="19">
        <v>40756</v>
      </c>
      <c r="E171" s="18">
        <v>1847</v>
      </c>
      <c r="F171" t="s">
        <v>116</v>
      </c>
    </row>
    <row r="172" spans="4:6" x14ac:dyDescent="0.25">
      <c r="D172" s="19">
        <v>40725</v>
      </c>
      <c r="E172" s="18">
        <v>1852</v>
      </c>
      <c r="F172" t="s">
        <v>116</v>
      </c>
    </row>
    <row r="173" spans="4:6" x14ac:dyDescent="0.25">
      <c r="D173" s="19">
        <v>40695</v>
      </c>
      <c r="E173" s="18">
        <v>1865</v>
      </c>
      <c r="F173" t="s">
        <v>116</v>
      </c>
    </row>
    <row r="174" spans="4:6" x14ac:dyDescent="0.25">
      <c r="D174" s="19">
        <v>40664</v>
      </c>
      <c r="E174" s="18">
        <v>1873</v>
      </c>
      <c r="F174" t="s">
        <v>116</v>
      </c>
    </row>
    <row r="175" spans="4:6" x14ac:dyDescent="0.25">
      <c r="D175" s="19">
        <v>40634</v>
      </c>
      <c r="E175" s="18">
        <v>1881</v>
      </c>
      <c r="F175" t="s">
        <v>116</v>
      </c>
    </row>
    <row r="176" spans="4:6" x14ac:dyDescent="0.25">
      <c r="D176" s="19">
        <v>40603</v>
      </c>
      <c r="E176" s="18">
        <v>1891</v>
      </c>
      <c r="F176" t="s">
        <v>116</v>
      </c>
    </row>
    <row r="177" spans="4:6" x14ac:dyDescent="0.25">
      <c r="D177" s="19">
        <v>40575</v>
      </c>
      <c r="E177" s="18">
        <v>1888</v>
      </c>
      <c r="F177" t="s">
        <v>116</v>
      </c>
    </row>
    <row r="178" spans="4:6" x14ac:dyDescent="0.25">
      <c r="D178" s="19">
        <v>40544</v>
      </c>
      <c r="E178" s="18">
        <v>1887</v>
      </c>
      <c r="F178" t="s">
        <v>116</v>
      </c>
    </row>
    <row r="179" spans="4:6" x14ac:dyDescent="0.25">
      <c r="D179" s="19">
        <v>40513</v>
      </c>
      <c r="E179" s="18">
        <v>1885</v>
      </c>
      <c r="F179" t="s">
        <v>116</v>
      </c>
    </row>
    <row r="180" spans="4:6" x14ac:dyDescent="0.25">
      <c r="D180" s="19">
        <v>40483</v>
      </c>
      <c r="E180" s="18">
        <v>1856</v>
      </c>
      <c r="F180" t="s">
        <v>116</v>
      </c>
    </row>
    <row r="181" spans="4:6" x14ac:dyDescent="0.25">
      <c r="D181" s="19">
        <v>40452</v>
      </c>
      <c r="E181" s="18">
        <v>1842</v>
      </c>
      <c r="F181" t="s">
        <v>116</v>
      </c>
    </row>
    <row r="182" spans="4:6" x14ac:dyDescent="0.25">
      <c r="D182" s="19">
        <v>40422</v>
      </c>
      <c r="E182" s="18">
        <v>1828</v>
      </c>
      <c r="F182" t="s">
        <v>116</v>
      </c>
    </row>
    <row r="183" spans="4:6" x14ac:dyDescent="0.25">
      <c r="D183" s="19">
        <v>40391</v>
      </c>
      <c r="E183" s="18">
        <v>1830</v>
      </c>
      <c r="F183" t="s">
        <v>116</v>
      </c>
    </row>
    <row r="184" spans="4:6" x14ac:dyDescent="0.25">
      <c r="D184" s="19">
        <v>40360</v>
      </c>
      <c r="E184" s="18">
        <v>1841</v>
      </c>
      <c r="F184" t="s">
        <v>116</v>
      </c>
    </row>
    <row r="185" spans="4:6" x14ac:dyDescent="0.25">
      <c r="D185" s="19">
        <v>40330</v>
      </c>
      <c r="E185" s="18">
        <v>1852</v>
      </c>
      <c r="F185" t="s">
        <v>116</v>
      </c>
    </row>
    <row r="186" spans="4:6" x14ac:dyDescent="0.25">
      <c r="D186" s="19">
        <v>40299</v>
      </c>
      <c r="E186" s="18">
        <v>1846</v>
      </c>
      <c r="F186" t="s">
        <v>116</v>
      </c>
    </row>
    <row r="187" spans="4:6" x14ac:dyDescent="0.25">
      <c r="D187" s="19">
        <v>40269</v>
      </c>
      <c r="E187" s="18">
        <v>1853</v>
      </c>
      <c r="F187" t="s">
        <v>116</v>
      </c>
    </row>
    <row r="188" spans="4:6" x14ac:dyDescent="0.25">
      <c r="D188" s="19">
        <v>40238</v>
      </c>
      <c r="E188" s="18">
        <v>1848</v>
      </c>
      <c r="F188" t="s">
        <v>116</v>
      </c>
    </row>
    <row r="189" spans="4:6" x14ac:dyDescent="0.25">
      <c r="D189" s="19">
        <v>40210</v>
      </c>
      <c r="E189" s="18">
        <v>1842</v>
      </c>
      <c r="F189" t="s">
        <v>116</v>
      </c>
    </row>
    <row r="190" spans="4:6" x14ac:dyDescent="0.25">
      <c r="D190" s="19">
        <v>40179</v>
      </c>
      <c r="E190" s="18">
        <v>1849</v>
      </c>
      <c r="F190" t="s">
        <v>116</v>
      </c>
    </row>
    <row r="191" spans="4:6" x14ac:dyDescent="0.25">
      <c r="D191" s="19">
        <v>40148</v>
      </c>
      <c r="E191" s="18">
        <v>1851</v>
      </c>
      <c r="F191" t="s">
        <v>116</v>
      </c>
    </row>
    <row r="192" spans="4:6" x14ac:dyDescent="0.25">
      <c r="D192" s="19">
        <v>40118</v>
      </c>
      <c r="E192" s="18">
        <v>1880</v>
      </c>
      <c r="F192" t="s">
        <v>116</v>
      </c>
    </row>
    <row r="193" spans="4:6" x14ac:dyDescent="0.25">
      <c r="D193" s="19">
        <v>40087</v>
      </c>
      <c r="E193" s="18">
        <v>1895</v>
      </c>
      <c r="F193" t="s">
        <v>116</v>
      </c>
    </row>
    <row r="194" spans="4:6" x14ac:dyDescent="0.25">
      <c r="D194" s="19">
        <v>40057</v>
      </c>
      <c r="E194" s="18">
        <v>1890</v>
      </c>
      <c r="F194" t="s">
        <v>116</v>
      </c>
    </row>
    <row r="195" spans="4:6" x14ac:dyDescent="0.25">
      <c r="D195" s="19">
        <v>40026</v>
      </c>
      <c r="E195" s="18">
        <v>1898</v>
      </c>
      <c r="F195" t="s">
        <v>116</v>
      </c>
    </row>
    <row r="196" spans="4:6" x14ac:dyDescent="0.25">
      <c r="D196" s="19">
        <v>39995</v>
      </c>
      <c r="E196" s="18">
        <v>1911</v>
      </c>
      <c r="F196" t="s">
        <v>116</v>
      </c>
    </row>
    <row r="197" spans="4:6" x14ac:dyDescent="0.25">
      <c r="D197" s="19">
        <v>39965</v>
      </c>
      <c r="E197" s="18">
        <v>1906</v>
      </c>
      <c r="F197" t="s">
        <v>116</v>
      </c>
    </row>
    <row r="198" spans="4:6" x14ac:dyDescent="0.25">
      <c r="D198" s="19">
        <v>39934</v>
      </c>
      <c r="E198" s="18">
        <v>1928</v>
      </c>
      <c r="F198" t="s">
        <v>116</v>
      </c>
    </row>
    <row r="199" spans="4:6" x14ac:dyDescent="0.25">
      <c r="D199" s="19">
        <v>39904</v>
      </c>
      <c r="E199" s="18">
        <v>1926</v>
      </c>
      <c r="F199" t="s">
        <v>116</v>
      </c>
    </row>
    <row r="200" spans="4:6" x14ac:dyDescent="0.25">
      <c r="D200" s="19">
        <v>39873</v>
      </c>
      <c r="E200" s="18">
        <v>1932</v>
      </c>
      <c r="F200" t="s">
        <v>116</v>
      </c>
    </row>
    <row r="201" spans="4:6" x14ac:dyDescent="0.25">
      <c r="D201" s="19">
        <v>39845</v>
      </c>
      <c r="E201" s="18">
        <v>1915</v>
      </c>
      <c r="F201" t="s">
        <v>116</v>
      </c>
    </row>
    <row r="202" spans="4:6" x14ac:dyDescent="0.25">
      <c r="D202" s="19">
        <v>39814</v>
      </c>
      <c r="E202" s="18">
        <v>1909</v>
      </c>
      <c r="F202" t="s">
        <v>116</v>
      </c>
    </row>
    <row r="203" spans="4:6" x14ac:dyDescent="0.25">
      <c r="D203" s="19">
        <v>39783</v>
      </c>
      <c r="E203" s="18">
        <v>1915</v>
      </c>
      <c r="F203" t="s">
        <v>116</v>
      </c>
    </row>
    <row r="204" spans="4:6" x14ac:dyDescent="0.25">
      <c r="D204" s="19">
        <v>39753</v>
      </c>
      <c r="E204" s="18">
        <v>1923</v>
      </c>
      <c r="F204" t="s">
        <v>116</v>
      </c>
    </row>
    <row r="205" spans="4:6" x14ac:dyDescent="0.25">
      <c r="D205" s="19">
        <v>39722</v>
      </c>
      <c r="E205" s="18">
        <v>1929</v>
      </c>
      <c r="F205" t="s">
        <v>116</v>
      </c>
    </row>
    <row r="206" spans="4:6" x14ac:dyDescent="0.25">
      <c r="D206" s="19">
        <v>39692</v>
      </c>
      <c r="E206" s="18">
        <v>1923</v>
      </c>
      <c r="F206" t="s">
        <v>116</v>
      </c>
    </row>
    <row r="207" spans="4:6" x14ac:dyDescent="0.25">
      <c r="D207" s="19">
        <v>39661</v>
      </c>
      <c r="E207" s="18">
        <v>1935</v>
      </c>
      <c r="F207" t="s">
        <v>116</v>
      </c>
    </row>
    <row r="208" spans="4:6" x14ac:dyDescent="0.25">
      <c r="D208" s="19">
        <v>39630</v>
      </c>
      <c r="E208" s="18">
        <v>1952</v>
      </c>
      <c r="F208" t="s">
        <v>116</v>
      </c>
    </row>
    <row r="209" spans="4:6" x14ac:dyDescent="0.25">
      <c r="D209" s="19">
        <v>39600</v>
      </c>
      <c r="E209" s="18">
        <v>1995</v>
      </c>
      <c r="F209" t="s">
        <v>116</v>
      </c>
    </row>
    <row r="210" spans="4:6" x14ac:dyDescent="0.25">
      <c r="D210" s="19">
        <v>39569</v>
      </c>
      <c r="E210" s="18">
        <v>1996</v>
      </c>
      <c r="F210" t="s">
        <v>116</v>
      </c>
    </row>
    <row r="211" spans="4:6" x14ac:dyDescent="0.25">
      <c r="D211" s="19">
        <v>39539</v>
      </c>
      <c r="E211" s="18">
        <v>1989</v>
      </c>
      <c r="F211" t="s">
        <v>116</v>
      </c>
    </row>
    <row r="212" spans="4:6" x14ac:dyDescent="0.25">
      <c r="D212" s="19">
        <v>39508</v>
      </c>
      <c r="E212" s="18">
        <v>1998</v>
      </c>
      <c r="F212" t="s">
        <v>116</v>
      </c>
    </row>
    <row r="213" spans="4:6" x14ac:dyDescent="0.25">
      <c r="D213" s="19">
        <v>39479</v>
      </c>
      <c r="E213" s="18">
        <v>2001</v>
      </c>
      <c r="F213" t="s">
        <v>116</v>
      </c>
    </row>
    <row r="214" spans="4:6" x14ac:dyDescent="0.25">
      <c r="D214" s="19">
        <v>39448</v>
      </c>
      <c r="E214" s="18">
        <v>2009</v>
      </c>
      <c r="F214" t="s">
        <v>116</v>
      </c>
    </row>
    <row r="215" spans="4:6" x14ac:dyDescent="0.25">
      <c r="D215" s="19">
        <v>39417</v>
      </c>
      <c r="E215" s="18">
        <v>2022</v>
      </c>
      <c r="F215" t="s">
        <v>116</v>
      </c>
    </row>
    <row r="216" spans="4:6" x14ac:dyDescent="0.25">
      <c r="D216" s="19">
        <v>39387</v>
      </c>
      <c r="E216" s="18">
        <v>2044</v>
      </c>
      <c r="F216" t="s">
        <v>116</v>
      </c>
    </row>
    <row r="217" spans="4:6" x14ac:dyDescent="0.25">
      <c r="D217" s="19">
        <v>39356</v>
      </c>
      <c r="E217" s="18">
        <v>2057</v>
      </c>
      <c r="F217" t="s">
        <v>116</v>
      </c>
    </row>
    <row r="218" spans="4:6" x14ac:dyDescent="0.25">
      <c r="D218" s="19">
        <v>39326</v>
      </c>
      <c r="E218" s="18">
        <v>2032</v>
      </c>
      <c r="F218" t="s">
        <v>116</v>
      </c>
    </row>
    <row r="219" spans="4:6" x14ac:dyDescent="0.25">
      <c r="D219" s="19">
        <v>39295</v>
      </c>
      <c r="E219" s="18">
        <v>2037</v>
      </c>
      <c r="F219" t="s">
        <v>116</v>
      </c>
    </row>
    <row r="220" spans="4:6" x14ac:dyDescent="0.25">
      <c r="D220" s="19">
        <v>39264</v>
      </c>
      <c r="E220" s="18">
        <v>2044</v>
      </c>
      <c r="F220" t="s">
        <v>116</v>
      </c>
    </row>
    <row r="221" spans="4:6" x14ac:dyDescent="0.25">
      <c r="D221" s="19">
        <v>39234</v>
      </c>
      <c r="E221" s="18">
        <v>2040</v>
      </c>
      <c r="F221" t="s">
        <v>116</v>
      </c>
    </row>
    <row r="222" spans="4:6" x14ac:dyDescent="0.25">
      <c r="D222" s="19">
        <v>39203</v>
      </c>
      <c r="E222" s="18">
        <v>2085</v>
      </c>
      <c r="F222" t="s">
        <v>116</v>
      </c>
    </row>
    <row r="223" spans="4:6" x14ac:dyDescent="0.25">
      <c r="D223" s="19">
        <v>39173</v>
      </c>
      <c r="E223" s="18">
        <v>2078</v>
      </c>
      <c r="F223" t="s">
        <v>116</v>
      </c>
    </row>
    <row r="224" spans="4:6" x14ac:dyDescent="0.25">
      <c r="D224" s="19">
        <v>39142</v>
      </c>
      <c r="E224" s="18">
        <v>2100</v>
      </c>
      <c r="F224" t="s">
        <v>116</v>
      </c>
    </row>
    <row r="225" spans="4:6" x14ac:dyDescent="0.25">
      <c r="D225" s="19">
        <v>39114</v>
      </c>
      <c r="E225" s="18">
        <v>2047</v>
      </c>
      <c r="F225" t="s">
        <v>116</v>
      </c>
    </row>
    <row r="226" spans="4:6" x14ac:dyDescent="0.25">
      <c r="D226" s="19">
        <v>39083</v>
      </c>
      <c r="E226" s="18">
        <v>2012</v>
      </c>
      <c r="F226" t="s">
        <v>116</v>
      </c>
    </row>
    <row r="227" spans="4:6" x14ac:dyDescent="0.25">
      <c r="D227" s="19">
        <v>39052</v>
      </c>
      <c r="E227" s="18">
        <v>1999</v>
      </c>
      <c r="F227" t="s">
        <v>116</v>
      </c>
    </row>
    <row r="228" spans="4:6" x14ac:dyDescent="0.25">
      <c r="D228" s="19">
        <v>39022</v>
      </c>
      <c r="E228" s="18">
        <v>2028</v>
      </c>
      <c r="F228" t="s">
        <v>116</v>
      </c>
    </row>
    <row r="229" spans="4:6" x14ac:dyDescent="0.25">
      <c r="D229" s="19">
        <v>38991</v>
      </c>
      <c r="E229" s="18">
        <v>2045</v>
      </c>
      <c r="F229" t="s">
        <v>116</v>
      </c>
    </row>
    <row r="230" spans="4:6" x14ac:dyDescent="0.25">
      <c r="D230" s="19">
        <v>38961</v>
      </c>
      <c r="E230" s="18">
        <v>2079</v>
      </c>
      <c r="F230" t="s">
        <v>116</v>
      </c>
    </row>
    <row r="231" spans="4:6" x14ac:dyDescent="0.25">
      <c r="D231" s="19">
        <v>38930</v>
      </c>
      <c r="E231" s="18">
        <v>2087</v>
      </c>
      <c r="F231" t="s">
        <v>116</v>
      </c>
    </row>
    <row r="232" spans="4:6" x14ac:dyDescent="0.25">
      <c r="D232" s="19">
        <v>38899</v>
      </c>
      <c r="E232" s="18">
        <v>2140</v>
      </c>
      <c r="F232" t="s">
        <v>116</v>
      </c>
    </row>
    <row r="233" spans="4:6" x14ac:dyDescent="0.25">
      <c r="D233" s="19">
        <v>38869</v>
      </c>
      <c r="E233" s="18">
        <v>2116</v>
      </c>
      <c r="F233" t="s">
        <v>116</v>
      </c>
    </row>
    <row r="234" spans="4:6" x14ac:dyDescent="0.25">
      <c r="D234" s="19">
        <v>38838</v>
      </c>
      <c r="E234" s="18">
        <v>2119</v>
      </c>
      <c r="F234" t="s">
        <v>116</v>
      </c>
    </row>
    <row r="235" spans="4:6" x14ac:dyDescent="0.25">
      <c r="D235" s="19">
        <v>38808</v>
      </c>
      <c r="E235" s="18">
        <v>2139</v>
      </c>
      <c r="F235" t="s">
        <v>116</v>
      </c>
    </row>
    <row r="236" spans="4:6" x14ac:dyDescent="0.25">
      <c r="D236" s="19">
        <v>38777</v>
      </c>
      <c r="E236" s="18">
        <v>2135</v>
      </c>
      <c r="F236" t="s">
        <v>116</v>
      </c>
    </row>
    <row r="237" spans="4:6" x14ac:dyDescent="0.25">
      <c r="D237" s="19">
        <v>38749</v>
      </c>
      <c r="E237" s="18">
        <v>2183</v>
      </c>
      <c r="F237" t="s">
        <v>116</v>
      </c>
    </row>
    <row r="238" spans="4:6" x14ac:dyDescent="0.25">
      <c r="D238" s="19">
        <v>38718</v>
      </c>
      <c r="E238" s="18">
        <v>2136</v>
      </c>
      <c r="F238" t="s">
        <v>116</v>
      </c>
    </row>
    <row r="239" spans="4:6" x14ac:dyDescent="0.25">
      <c r="D239" s="19">
        <v>45901</v>
      </c>
      <c r="E239" s="18">
        <v>2563</v>
      </c>
      <c r="F239" t="s">
        <v>8</v>
      </c>
    </row>
    <row r="240" spans="4:6" x14ac:dyDescent="0.25">
      <c r="D240" s="19">
        <v>45870</v>
      </c>
      <c r="E240" s="18">
        <v>2623</v>
      </c>
      <c r="F240" t="s">
        <v>8</v>
      </c>
    </row>
    <row r="241" spans="4:6" x14ac:dyDescent="0.25">
      <c r="D241" s="19">
        <v>45839</v>
      </c>
      <c r="E241" s="18">
        <v>2681</v>
      </c>
      <c r="F241" t="s">
        <v>8</v>
      </c>
    </row>
    <row r="242" spans="4:6" x14ac:dyDescent="0.25">
      <c r="D242" s="19">
        <v>45809</v>
      </c>
      <c r="E242" s="18">
        <v>2684</v>
      </c>
      <c r="F242" t="s">
        <v>8</v>
      </c>
    </row>
    <row r="243" spans="4:6" x14ac:dyDescent="0.25">
      <c r="D243" s="19">
        <v>45778</v>
      </c>
      <c r="E243" s="18">
        <v>2644</v>
      </c>
      <c r="F243" t="s">
        <v>8</v>
      </c>
    </row>
    <row r="244" spans="4:6" x14ac:dyDescent="0.25">
      <c r="D244" s="19">
        <v>45748</v>
      </c>
      <c r="E244" s="18">
        <v>2611</v>
      </c>
      <c r="F244" t="s">
        <v>8</v>
      </c>
    </row>
    <row r="245" spans="4:6" x14ac:dyDescent="0.25">
      <c r="D245" s="19">
        <v>45717</v>
      </c>
      <c r="E245" s="18">
        <v>2556</v>
      </c>
      <c r="F245" t="s">
        <v>8</v>
      </c>
    </row>
    <row r="246" spans="4:6" x14ac:dyDescent="0.25">
      <c r="D246" s="19">
        <v>45689</v>
      </c>
      <c r="E246" s="18">
        <v>2494</v>
      </c>
      <c r="F246" t="s">
        <v>8</v>
      </c>
    </row>
    <row r="247" spans="4:6" x14ac:dyDescent="0.25">
      <c r="D247" s="19">
        <v>45658</v>
      </c>
      <c r="E247" s="18">
        <v>2396</v>
      </c>
      <c r="F247" t="s">
        <v>8</v>
      </c>
    </row>
    <row r="248" spans="4:6" x14ac:dyDescent="0.25">
      <c r="D248" s="19">
        <v>45627</v>
      </c>
      <c r="E248" s="18">
        <v>2408</v>
      </c>
      <c r="F248" t="s">
        <v>8</v>
      </c>
    </row>
    <row r="249" spans="4:6" x14ac:dyDescent="0.25">
      <c r="D249" s="19">
        <v>45597</v>
      </c>
      <c r="E249" s="18">
        <v>2371</v>
      </c>
      <c r="F249" t="s">
        <v>8</v>
      </c>
    </row>
    <row r="250" spans="4:6" x14ac:dyDescent="0.25">
      <c r="D250" s="19">
        <v>45566</v>
      </c>
      <c r="E250" s="18">
        <v>2353</v>
      </c>
      <c r="F250" t="s">
        <v>8</v>
      </c>
    </row>
    <row r="251" spans="4:6" x14ac:dyDescent="0.25">
      <c r="D251" s="19">
        <v>45536</v>
      </c>
      <c r="E251" s="18">
        <v>2354</v>
      </c>
      <c r="F251" t="s">
        <v>8</v>
      </c>
    </row>
    <row r="252" spans="4:6" x14ac:dyDescent="0.25">
      <c r="D252" s="19">
        <v>45505</v>
      </c>
      <c r="E252" s="18">
        <v>2354</v>
      </c>
      <c r="F252" t="s">
        <v>8</v>
      </c>
    </row>
    <row r="253" spans="4:6" x14ac:dyDescent="0.25">
      <c r="D253" s="19">
        <v>45474</v>
      </c>
      <c r="E253" s="18">
        <v>2348</v>
      </c>
      <c r="F253" t="s">
        <v>8</v>
      </c>
    </row>
    <row r="254" spans="4:6" x14ac:dyDescent="0.25">
      <c r="D254" s="19">
        <v>45444</v>
      </c>
      <c r="E254" s="18">
        <v>2343</v>
      </c>
      <c r="F254" t="s">
        <v>8</v>
      </c>
    </row>
    <row r="255" spans="4:6" x14ac:dyDescent="0.25">
      <c r="D255" s="19">
        <v>45413</v>
      </c>
      <c r="E255" s="18">
        <v>2317</v>
      </c>
      <c r="F255" t="s">
        <v>8</v>
      </c>
    </row>
    <row r="256" spans="4:6" x14ac:dyDescent="0.25">
      <c r="D256" s="19">
        <v>45383</v>
      </c>
      <c r="E256" s="18">
        <v>2300</v>
      </c>
      <c r="F256" t="s">
        <v>8</v>
      </c>
    </row>
    <row r="257" spans="4:6" x14ac:dyDescent="0.25">
      <c r="D257" s="19">
        <v>45352</v>
      </c>
      <c r="E257" s="18">
        <v>2246</v>
      </c>
      <c r="F257" t="s">
        <v>8</v>
      </c>
    </row>
    <row r="258" spans="4:6" x14ac:dyDescent="0.25">
      <c r="D258" s="19">
        <v>45323</v>
      </c>
      <c r="E258" s="18">
        <v>2214</v>
      </c>
      <c r="F258" t="s">
        <v>8</v>
      </c>
    </row>
    <row r="259" spans="4:6" x14ac:dyDescent="0.25">
      <c r="D259" s="19">
        <v>45292</v>
      </c>
      <c r="E259" s="18">
        <v>2223</v>
      </c>
      <c r="F259" t="s">
        <v>8</v>
      </c>
    </row>
    <row r="260" spans="4:6" x14ac:dyDescent="0.25">
      <c r="D260" s="19">
        <v>45261</v>
      </c>
      <c r="E260" s="18">
        <v>2211</v>
      </c>
      <c r="F260" t="s">
        <v>8</v>
      </c>
    </row>
    <row r="261" spans="4:6" x14ac:dyDescent="0.25">
      <c r="D261" s="19">
        <v>45231</v>
      </c>
      <c r="E261" s="18">
        <v>2217</v>
      </c>
      <c r="F261" t="s">
        <v>8</v>
      </c>
    </row>
    <row r="262" spans="4:6" x14ac:dyDescent="0.25">
      <c r="D262" s="19">
        <v>45200</v>
      </c>
      <c r="E262" s="18">
        <v>2210</v>
      </c>
      <c r="F262" t="s">
        <v>8</v>
      </c>
    </row>
    <row r="263" spans="4:6" x14ac:dyDescent="0.25">
      <c r="D263" s="19">
        <v>45170</v>
      </c>
      <c r="E263" s="18">
        <v>2185</v>
      </c>
      <c r="F263" t="s">
        <v>8</v>
      </c>
    </row>
    <row r="264" spans="4:6" x14ac:dyDescent="0.25">
      <c r="D264" s="19">
        <v>45139</v>
      </c>
      <c r="E264" s="18">
        <v>2184</v>
      </c>
      <c r="F264" t="s">
        <v>8</v>
      </c>
    </row>
    <row r="265" spans="4:6" x14ac:dyDescent="0.25">
      <c r="D265" s="19">
        <v>45108</v>
      </c>
      <c r="E265" s="18">
        <v>2188</v>
      </c>
      <c r="F265" t="s">
        <v>8</v>
      </c>
    </row>
    <row r="266" spans="4:6" x14ac:dyDescent="0.25">
      <c r="D266" s="19">
        <v>45078</v>
      </c>
      <c r="E266" s="18">
        <v>2181</v>
      </c>
      <c r="F266" t="s">
        <v>8</v>
      </c>
    </row>
    <row r="267" spans="4:6" x14ac:dyDescent="0.25">
      <c r="D267" s="19">
        <v>45047</v>
      </c>
      <c r="E267" s="18">
        <v>2166</v>
      </c>
      <c r="F267" t="s">
        <v>8</v>
      </c>
    </row>
    <row r="268" spans="4:6" x14ac:dyDescent="0.25">
      <c r="D268" s="19">
        <v>45017</v>
      </c>
      <c r="E268" s="18">
        <v>2147</v>
      </c>
      <c r="F268" t="s">
        <v>8</v>
      </c>
    </row>
    <row r="269" spans="4:6" x14ac:dyDescent="0.25">
      <c r="D269" s="19">
        <v>44986</v>
      </c>
      <c r="E269" s="18">
        <v>2151</v>
      </c>
      <c r="F269" t="s">
        <v>8</v>
      </c>
    </row>
    <row r="270" spans="4:6" x14ac:dyDescent="0.25">
      <c r="D270" s="19">
        <v>44958</v>
      </c>
      <c r="E270" s="18">
        <v>2151</v>
      </c>
      <c r="F270" t="s">
        <v>8</v>
      </c>
    </row>
    <row r="271" spans="4:6" x14ac:dyDescent="0.25">
      <c r="D271" s="19">
        <v>44927</v>
      </c>
      <c r="E271" s="18">
        <v>2123</v>
      </c>
      <c r="F271" t="s">
        <v>8</v>
      </c>
    </row>
    <row r="272" spans="4:6" x14ac:dyDescent="0.25">
      <c r="D272" s="19">
        <v>44896</v>
      </c>
      <c r="E272" s="18">
        <v>2121</v>
      </c>
      <c r="F272" t="s">
        <v>8</v>
      </c>
    </row>
    <row r="273" spans="4:6" x14ac:dyDescent="0.25">
      <c r="D273" s="19">
        <v>44866</v>
      </c>
      <c r="E273" s="18">
        <v>2113</v>
      </c>
      <c r="F273" t="s">
        <v>8</v>
      </c>
    </row>
    <row r="274" spans="4:6" x14ac:dyDescent="0.25">
      <c r="D274" s="19">
        <v>44835</v>
      </c>
      <c r="E274" s="18">
        <v>2088</v>
      </c>
      <c r="F274" t="s">
        <v>8</v>
      </c>
    </row>
    <row r="275" spans="4:6" x14ac:dyDescent="0.25">
      <c r="D275" s="19">
        <v>44805</v>
      </c>
      <c r="E275" s="18">
        <v>2057</v>
      </c>
      <c r="F275" t="s">
        <v>8</v>
      </c>
    </row>
    <row r="276" spans="4:6" x14ac:dyDescent="0.25">
      <c r="D276" s="19">
        <v>44774</v>
      </c>
      <c r="E276" s="18">
        <v>2068</v>
      </c>
      <c r="F276" t="s">
        <v>8</v>
      </c>
    </row>
    <row r="277" spans="4:6" x14ac:dyDescent="0.25">
      <c r="D277" s="19">
        <v>44743</v>
      </c>
      <c r="E277" s="18">
        <v>2062</v>
      </c>
      <c r="F277" t="s">
        <v>8</v>
      </c>
    </row>
    <row r="278" spans="4:6" x14ac:dyDescent="0.25">
      <c r="D278" s="19">
        <v>44713</v>
      </c>
      <c r="E278" s="18">
        <v>2016</v>
      </c>
      <c r="F278" t="s">
        <v>8</v>
      </c>
    </row>
    <row r="279" spans="4:6" x14ac:dyDescent="0.25">
      <c r="D279" s="19">
        <v>44682</v>
      </c>
      <c r="E279" s="18">
        <v>1994</v>
      </c>
      <c r="F279" t="s">
        <v>8</v>
      </c>
    </row>
    <row r="280" spans="4:6" x14ac:dyDescent="0.25">
      <c r="D280" s="19">
        <v>44652</v>
      </c>
      <c r="E280" s="18">
        <v>1997</v>
      </c>
      <c r="F280" t="s">
        <v>8</v>
      </c>
    </row>
    <row r="281" spans="4:6" x14ac:dyDescent="0.25">
      <c r="D281" s="19">
        <v>44621</v>
      </c>
      <c r="E281" s="18">
        <v>1994</v>
      </c>
      <c r="F281" t="s">
        <v>8</v>
      </c>
    </row>
    <row r="282" spans="4:6" x14ac:dyDescent="0.25">
      <c r="D282" s="19">
        <v>44593</v>
      </c>
      <c r="E282" s="18">
        <v>1973</v>
      </c>
      <c r="F282" t="s">
        <v>8</v>
      </c>
    </row>
    <row r="283" spans="4:6" x14ac:dyDescent="0.25">
      <c r="D283" s="19">
        <v>44562</v>
      </c>
      <c r="E283" s="18">
        <v>1955</v>
      </c>
      <c r="F283" t="s">
        <v>8</v>
      </c>
    </row>
    <row r="284" spans="4:6" x14ac:dyDescent="0.25">
      <c r="D284" s="19">
        <v>44531</v>
      </c>
      <c r="E284" s="18">
        <v>1950</v>
      </c>
      <c r="F284" t="s">
        <v>8</v>
      </c>
    </row>
    <row r="285" spans="4:6" x14ac:dyDescent="0.25">
      <c r="D285" s="19">
        <v>44501</v>
      </c>
      <c r="E285" s="18">
        <v>1948</v>
      </c>
      <c r="F285" t="s">
        <v>8</v>
      </c>
    </row>
    <row r="286" spans="4:6" x14ac:dyDescent="0.25">
      <c r="D286" s="19">
        <v>44470</v>
      </c>
      <c r="E286" s="18">
        <v>1926</v>
      </c>
      <c r="F286" t="s">
        <v>8</v>
      </c>
    </row>
    <row r="287" spans="4:6" x14ac:dyDescent="0.25">
      <c r="D287" s="19">
        <v>44440</v>
      </c>
      <c r="E287" s="18">
        <v>1934</v>
      </c>
      <c r="F287" t="s">
        <v>8</v>
      </c>
    </row>
    <row r="288" spans="4:6" x14ac:dyDescent="0.25">
      <c r="D288" s="19">
        <v>44409</v>
      </c>
      <c r="E288" s="18">
        <v>1960</v>
      </c>
      <c r="F288" t="s">
        <v>8</v>
      </c>
    </row>
    <row r="289" spans="4:6" x14ac:dyDescent="0.25">
      <c r="D289" s="19">
        <v>44378</v>
      </c>
      <c r="E289" s="18">
        <v>1962</v>
      </c>
      <c r="F289" t="s">
        <v>8</v>
      </c>
    </row>
    <row r="290" spans="4:6" x14ac:dyDescent="0.25">
      <c r="D290" s="19">
        <v>44348</v>
      </c>
      <c r="E290" s="18">
        <v>1954</v>
      </c>
      <c r="F290" t="s">
        <v>8</v>
      </c>
    </row>
    <row r="291" spans="4:6" x14ac:dyDescent="0.25">
      <c r="D291" s="19">
        <v>44317</v>
      </c>
      <c r="E291" s="18">
        <v>1963</v>
      </c>
      <c r="F291" t="s">
        <v>8</v>
      </c>
    </row>
    <row r="292" spans="4:6" x14ac:dyDescent="0.25">
      <c r="D292" s="19">
        <v>44287</v>
      </c>
      <c r="E292" s="18">
        <v>1960</v>
      </c>
      <c r="F292" t="s">
        <v>8</v>
      </c>
    </row>
    <row r="293" spans="4:6" x14ac:dyDescent="0.25">
      <c r="D293" s="19">
        <v>44256</v>
      </c>
      <c r="E293" s="18">
        <v>1973</v>
      </c>
      <c r="F293" t="s">
        <v>8</v>
      </c>
    </row>
    <row r="294" spans="4:6" x14ac:dyDescent="0.25">
      <c r="D294" s="19">
        <v>44228</v>
      </c>
      <c r="E294" s="18">
        <v>1987</v>
      </c>
      <c r="F294" t="s">
        <v>8</v>
      </c>
    </row>
    <row r="295" spans="4:6" x14ac:dyDescent="0.25">
      <c r="D295" s="19">
        <v>44197</v>
      </c>
      <c r="E295" s="18">
        <v>1995</v>
      </c>
      <c r="F295" t="s">
        <v>8</v>
      </c>
    </row>
    <row r="296" spans="4:6" x14ac:dyDescent="0.25">
      <c r="D296" s="19">
        <v>44166</v>
      </c>
      <c r="E296" s="18">
        <v>1995</v>
      </c>
      <c r="F296" t="s">
        <v>8</v>
      </c>
    </row>
    <row r="297" spans="4:6" x14ac:dyDescent="0.25">
      <c r="D297" s="19">
        <v>44136</v>
      </c>
      <c r="E297" s="18">
        <v>1982</v>
      </c>
      <c r="F297" t="s">
        <v>8</v>
      </c>
    </row>
    <row r="298" spans="4:6" x14ac:dyDescent="0.25">
      <c r="D298" s="19">
        <v>44105</v>
      </c>
      <c r="E298" s="18">
        <v>2005</v>
      </c>
      <c r="F298" t="s">
        <v>8</v>
      </c>
    </row>
    <row r="299" spans="4:6" x14ac:dyDescent="0.25">
      <c r="D299" s="19">
        <v>44075</v>
      </c>
      <c r="E299" s="18">
        <v>2033</v>
      </c>
      <c r="F299" t="s">
        <v>8</v>
      </c>
    </row>
    <row r="300" spans="4:6" x14ac:dyDescent="0.25">
      <c r="D300" s="19">
        <v>44044</v>
      </c>
      <c r="E300" s="18">
        <v>2048</v>
      </c>
      <c r="F300" t="s">
        <v>8</v>
      </c>
    </row>
    <row r="301" spans="4:6" x14ac:dyDescent="0.25">
      <c r="D301" s="19">
        <v>44013</v>
      </c>
      <c r="E301" s="18">
        <v>2066</v>
      </c>
      <c r="F301" t="s">
        <v>8</v>
      </c>
    </row>
    <row r="302" spans="4:6" x14ac:dyDescent="0.25">
      <c r="D302" s="19">
        <v>43983</v>
      </c>
      <c r="E302" s="18">
        <v>2094</v>
      </c>
      <c r="F302" t="s">
        <v>8</v>
      </c>
    </row>
    <row r="303" spans="4:6" x14ac:dyDescent="0.25">
      <c r="D303" s="19">
        <v>43952</v>
      </c>
      <c r="E303" s="18">
        <v>2090</v>
      </c>
      <c r="F303" t="s">
        <v>8</v>
      </c>
    </row>
    <row r="304" spans="4:6" x14ac:dyDescent="0.25">
      <c r="D304" s="19">
        <v>43922</v>
      </c>
      <c r="E304" s="18">
        <v>2072</v>
      </c>
      <c r="F304" t="s">
        <v>8</v>
      </c>
    </row>
    <row r="305" spans="4:6" x14ac:dyDescent="0.25">
      <c r="D305" s="19">
        <v>43891</v>
      </c>
      <c r="E305" s="18">
        <v>2050</v>
      </c>
      <c r="F305" t="s">
        <v>8</v>
      </c>
    </row>
    <row r="306" spans="4:6" x14ac:dyDescent="0.25">
      <c r="D306" s="19">
        <v>43862</v>
      </c>
      <c r="E306" s="18">
        <v>2052</v>
      </c>
      <c r="F306" t="s">
        <v>8</v>
      </c>
    </row>
    <row r="307" spans="4:6" x14ac:dyDescent="0.25">
      <c r="D307" s="19">
        <v>43831</v>
      </c>
      <c r="E307" s="18">
        <v>2033</v>
      </c>
      <c r="F307" t="s">
        <v>8</v>
      </c>
    </row>
    <row r="308" spans="4:6" x14ac:dyDescent="0.25">
      <c r="D308" s="19">
        <v>43800</v>
      </c>
      <c r="E308" s="18">
        <v>2019</v>
      </c>
      <c r="F308" t="s">
        <v>8</v>
      </c>
    </row>
    <row r="309" spans="4:6" x14ac:dyDescent="0.25">
      <c r="D309" s="19">
        <v>43770</v>
      </c>
      <c r="E309" s="18">
        <v>2026</v>
      </c>
      <c r="F309" t="s">
        <v>8</v>
      </c>
    </row>
    <row r="310" spans="4:6" x14ac:dyDescent="0.25">
      <c r="D310" s="19">
        <v>43739</v>
      </c>
      <c r="E310" s="18">
        <v>2030</v>
      </c>
      <c r="F310" t="s">
        <v>8</v>
      </c>
    </row>
    <row r="311" spans="4:6" x14ac:dyDescent="0.25">
      <c r="D311" s="19">
        <v>43709</v>
      </c>
      <c r="E311" s="18">
        <v>2047</v>
      </c>
      <c r="F311" t="s">
        <v>8</v>
      </c>
    </row>
    <row r="312" spans="4:6" x14ac:dyDescent="0.25">
      <c r="D312" s="19">
        <v>43678</v>
      </c>
      <c r="E312" s="18">
        <v>2040</v>
      </c>
      <c r="F312" t="s">
        <v>8</v>
      </c>
    </row>
    <row r="313" spans="4:6" x14ac:dyDescent="0.25">
      <c r="D313" s="19">
        <v>43647</v>
      </c>
      <c r="E313" s="18">
        <v>2030</v>
      </c>
      <c r="F313" t="s">
        <v>8</v>
      </c>
    </row>
    <row r="314" spans="4:6" x14ac:dyDescent="0.25">
      <c r="D314" s="19">
        <v>43617</v>
      </c>
      <c r="E314" s="18">
        <v>2025</v>
      </c>
      <c r="F314" t="s">
        <v>8</v>
      </c>
    </row>
    <row r="315" spans="4:6" x14ac:dyDescent="0.25">
      <c r="D315" s="19">
        <v>43586</v>
      </c>
      <c r="E315" s="18">
        <v>2024</v>
      </c>
      <c r="F315" t="s">
        <v>8</v>
      </c>
    </row>
    <row r="316" spans="4:6" x14ac:dyDescent="0.25">
      <c r="D316" s="19">
        <v>43556</v>
      </c>
      <c r="E316" s="18">
        <v>2012</v>
      </c>
      <c r="F316" t="s">
        <v>8</v>
      </c>
    </row>
    <row r="317" spans="4:6" x14ac:dyDescent="0.25">
      <c r="D317" s="19">
        <v>43525</v>
      </c>
      <c r="E317" s="18">
        <v>2006</v>
      </c>
      <c r="F317" t="s">
        <v>8</v>
      </c>
    </row>
    <row r="318" spans="4:6" x14ac:dyDescent="0.25">
      <c r="D318" s="19">
        <v>43497</v>
      </c>
      <c r="E318" s="18">
        <v>2009</v>
      </c>
      <c r="F318" t="s">
        <v>8</v>
      </c>
    </row>
    <row r="319" spans="4:6" x14ac:dyDescent="0.25">
      <c r="D319" s="19">
        <v>43466</v>
      </c>
      <c r="E319" s="18">
        <v>1988</v>
      </c>
      <c r="F319" t="s">
        <v>8</v>
      </c>
    </row>
    <row r="320" spans="4:6" x14ac:dyDescent="0.25">
      <c r="D320" s="19">
        <v>43435</v>
      </c>
      <c r="E320" s="18">
        <v>1989</v>
      </c>
      <c r="F320" t="s">
        <v>8</v>
      </c>
    </row>
    <row r="321" spans="4:6" x14ac:dyDescent="0.25">
      <c r="D321" s="19">
        <v>43405</v>
      </c>
      <c r="E321" s="18">
        <v>1969</v>
      </c>
      <c r="F321" t="s">
        <v>8</v>
      </c>
    </row>
    <row r="322" spans="4:6" x14ac:dyDescent="0.25">
      <c r="D322" s="19">
        <v>43374</v>
      </c>
      <c r="E322" s="18">
        <v>1952</v>
      </c>
      <c r="F322" t="s">
        <v>8</v>
      </c>
    </row>
    <row r="323" spans="4:6" x14ac:dyDescent="0.25">
      <c r="D323" s="19">
        <v>43344</v>
      </c>
      <c r="E323" s="18">
        <v>1931</v>
      </c>
      <c r="F323" t="s">
        <v>8</v>
      </c>
    </row>
    <row r="324" spans="4:6" x14ac:dyDescent="0.25">
      <c r="D324" s="19">
        <v>43313</v>
      </c>
      <c r="E324" s="18">
        <v>1916</v>
      </c>
      <c r="F324" t="s">
        <v>8</v>
      </c>
    </row>
    <row r="325" spans="4:6" x14ac:dyDescent="0.25">
      <c r="D325" s="19">
        <v>43282</v>
      </c>
      <c r="E325" s="18">
        <v>1920</v>
      </c>
      <c r="F325" t="s">
        <v>8</v>
      </c>
    </row>
    <row r="326" spans="4:6" x14ac:dyDescent="0.25">
      <c r="D326" s="19">
        <v>43252</v>
      </c>
      <c r="E326" s="18">
        <v>1905</v>
      </c>
      <c r="F326" t="s">
        <v>8</v>
      </c>
    </row>
    <row r="327" spans="4:6" x14ac:dyDescent="0.25">
      <c r="D327" s="19">
        <v>43221</v>
      </c>
      <c r="E327" s="18">
        <v>1879</v>
      </c>
      <c r="F327" t="s">
        <v>8</v>
      </c>
    </row>
    <row r="328" spans="4:6" x14ac:dyDescent="0.25">
      <c r="D328" s="19">
        <v>43191</v>
      </c>
      <c r="E328" s="18">
        <v>1881</v>
      </c>
      <c r="F328" t="s">
        <v>8</v>
      </c>
    </row>
    <row r="329" spans="4:6" x14ac:dyDescent="0.25">
      <c r="D329" s="19">
        <v>43160</v>
      </c>
      <c r="E329" s="18">
        <v>1851</v>
      </c>
      <c r="F329" t="s">
        <v>8</v>
      </c>
    </row>
    <row r="330" spans="4:6" x14ac:dyDescent="0.25">
      <c r="D330" s="19">
        <v>43132</v>
      </c>
      <c r="E330" s="18">
        <v>1833</v>
      </c>
      <c r="F330" t="s">
        <v>8</v>
      </c>
    </row>
    <row r="331" spans="4:6" x14ac:dyDescent="0.25">
      <c r="D331" s="19">
        <v>43101</v>
      </c>
      <c r="E331" s="18">
        <v>1820</v>
      </c>
      <c r="F331" t="s">
        <v>8</v>
      </c>
    </row>
    <row r="332" spans="4:6" x14ac:dyDescent="0.25">
      <c r="D332" s="19">
        <v>43070</v>
      </c>
      <c r="E332" s="18">
        <v>1814</v>
      </c>
      <c r="F332" t="s">
        <v>8</v>
      </c>
    </row>
    <row r="333" spans="4:6" x14ac:dyDescent="0.25">
      <c r="D333" s="19">
        <v>43040</v>
      </c>
      <c r="E333" s="18">
        <v>1813</v>
      </c>
      <c r="F333" t="s">
        <v>8</v>
      </c>
    </row>
    <row r="334" spans="4:6" x14ac:dyDescent="0.25">
      <c r="D334" s="19">
        <v>43009</v>
      </c>
      <c r="E334" s="18">
        <v>1795</v>
      </c>
      <c r="F334" t="s">
        <v>8</v>
      </c>
    </row>
    <row r="335" spans="4:6" x14ac:dyDescent="0.25">
      <c r="D335" s="19">
        <v>42979</v>
      </c>
      <c r="E335" s="18">
        <v>1796</v>
      </c>
      <c r="F335" t="s">
        <v>8</v>
      </c>
    </row>
    <row r="336" spans="4:6" x14ac:dyDescent="0.25">
      <c r="D336" s="19">
        <v>42948</v>
      </c>
      <c r="E336" s="18">
        <v>1795</v>
      </c>
      <c r="F336" t="s">
        <v>8</v>
      </c>
    </row>
    <row r="337" spans="4:6" x14ac:dyDescent="0.25">
      <c r="D337" s="19">
        <v>42917</v>
      </c>
      <c r="E337" s="18">
        <v>1798</v>
      </c>
      <c r="F337" t="s">
        <v>8</v>
      </c>
    </row>
    <row r="338" spans="4:6" x14ac:dyDescent="0.25">
      <c r="D338" s="19">
        <v>42887</v>
      </c>
      <c r="E338" s="18">
        <v>1795</v>
      </c>
      <c r="F338" t="s">
        <v>8</v>
      </c>
    </row>
    <row r="339" spans="4:6" x14ac:dyDescent="0.25">
      <c r="D339" s="19">
        <v>42856</v>
      </c>
      <c r="E339" s="18">
        <v>1804</v>
      </c>
      <c r="F339" t="s">
        <v>8</v>
      </c>
    </row>
    <row r="340" spans="4:6" x14ac:dyDescent="0.25">
      <c r="D340" s="19">
        <v>42826</v>
      </c>
      <c r="E340" s="18">
        <v>1821</v>
      </c>
      <c r="F340" t="s">
        <v>8</v>
      </c>
    </row>
    <row r="341" spans="4:6" x14ac:dyDescent="0.25">
      <c r="D341" s="19">
        <v>42795</v>
      </c>
      <c r="E341" s="18">
        <v>1822</v>
      </c>
      <c r="F341" t="s">
        <v>8</v>
      </c>
    </row>
    <row r="342" spans="4:6" x14ac:dyDescent="0.25">
      <c r="D342" s="19">
        <v>42767</v>
      </c>
      <c r="E342" s="18">
        <v>1808</v>
      </c>
      <c r="F342" t="s">
        <v>8</v>
      </c>
    </row>
    <row r="343" spans="4:6" x14ac:dyDescent="0.25">
      <c r="D343" s="19">
        <v>42736</v>
      </c>
      <c r="E343" s="18">
        <v>1798</v>
      </c>
      <c r="F343" t="s">
        <v>8</v>
      </c>
    </row>
    <row r="344" spans="4:6" x14ac:dyDescent="0.25">
      <c r="D344" s="19">
        <v>42705</v>
      </c>
      <c r="E344" s="18">
        <v>1802</v>
      </c>
      <c r="F344" t="s">
        <v>8</v>
      </c>
    </row>
    <row r="345" spans="4:6" x14ac:dyDescent="0.25">
      <c r="D345" s="19">
        <v>42675</v>
      </c>
      <c r="E345" s="18">
        <v>1807</v>
      </c>
      <c r="F345" t="s">
        <v>8</v>
      </c>
    </row>
    <row r="346" spans="4:6" x14ac:dyDescent="0.25">
      <c r="D346" s="19">
        <v>42644</v>
      </c>
      <c r="E346" s="18">
        <v>1799</v>
      </c>
      <c r="F346" t="s">
        <v>8</v>
      </c>
    </row>
    <row r="347" spans="4:6" x14ac:dyDescent="0.25">
      <c r="D347" s="19">
        <v>42614</v>
      </c>
      <c r="E347" s="18">
        <v>1804</v>
      </c>
      <c r="F347" t="s">
        <v>8</v>
      </c>
    </row>
    <row r="348" spans="4:6" x14ac:dyDescent="0.25">
      <c r="D348" s="19">
        <v>42583</v>
      </c>
      <c r="E348" s="18">
        <v>1803</v>
      </c>
      <c r="F348" t="s">
        <v>8</v>
      </c>
    </row>
    <row r="349" spans="4:6" x14ac:dyDescent="0.25">
      <c r="D349" s="19">
        <v>42552</v>
      </c>
      <c r="E349" s="18">
        <v>1818</v>
      </c>
      <c r="F349" t="s">
        <v>8</v>
      </c>
    </row>
    <row r="350" spans="4:6" x14ac:dyDescent="0.25">
      <c r="D350" s="19">
        <v>42522</v>
      </c>
      <c r="E350" s="18">
        <v>1802</v>
      </c>
      <c r="F350" t="s">
        <v>8</v>
      </c>
    </row>
    <row r="351" spans="4:6" x14ac:dyDescent="0.25">
      <c r="D351" s="19">
        <v>42491</v>
      </c>
      <c r="E351" s="18">
        <v>1792</v>
      </c>
      <c r="F351" t="s">
        <v>8</v>
      </c>
    </row>
    <row r="352" spans="4:6" x14ac:dyDescent="0.25">
      <c r="D352" s="19">
        <v>42461</v>
      </c>
      <c r="E352" s="18">
        <v>1787</v>
      </c>
      <c r="F352" t="s">
        <v>8</v>
      </c>
    </row>
    <row r="353" spans="4:6" x14ac:dyDescent="0.25">
      <c r="D353" s="19">
        <v>42430</v>
      </c>
      <c r="E353" s="18">
        <v>1787</v>
      </c>
      <c r="F353" t="s">
        <v>8</v>
      </c>
    </row>
    <row r="354" spans="4:6" x14ac:dyDescent="0.25">
      <c r="D354" s="19">
        <v>42401</v>
      </c>
      <c r="E354" s="18">
        <v>1774</v>
      </c>
      <c r="F354" t="s">
        <v>8</v>
      </c>
    </row>
    <row r="355" spans="4:6" x14ac:dyDescent="0.25">
      <c r="D355" s="19">
        <v>42370</v>
      </c>
      <c r="E355" s="18">
        <v>1771</v>
      </c>
      <c r="F355" t="s">
        <v>8</v>
      </c>
    </row>
    <row r="356" spans="4:6" x14ac:dyDescent="0.25">
      <c r="D356" s="19">
        <v>42339</v>
      </c>
      <c r="E356" s="18">
        <v>1779</v>
      </c>
      <c r="F356" t="s">
        <v>8</v>
      </c>
    </row>
    <row r="357" spans="4:6" x14ac:dyDescent="0.25">
      <c r="D357" s="19">
        <v>42309</v>
      </c>
      <c r="E357" s="18">
        <v>1781</v>
      </c>
      <c r="F357" t="s">
        <v>8</v>
      </c>
    </row>
    <row r="358" spans="4:6" x14ac:dyDescent="0.25">
      <c r="D358" s="19">
        <v>42278</v>
      </c>
      <c r="E358" s="18">
        <v>1751</v>
      </c>
      <c r="F358" t="s">
        <v>8</v>
      </c>
    </row>
    <row r="359" spans="4:6" x14ac:dyDescent="0.25">
      <c r="D359" s="19">
        <v>42248</v>
      </c>
      <c r="E359" s="18">
        <v>1743</v>
      </c>
      <c r="F359" t="s">
        <v>8</v>
      </c>
    </row>
    <row r="360" spans="4:6" x14ac:dyDescent="0.25">
      <c r="D360" s="19">
        <v>42217</v>
      </c>
      <c r="E360" s="18">
        <v>1758</v>
      </c>
      <c r="F360" t="s">
        <v>8</v>
      </c>
    </row>
    <row r="361" spans="4:6" x14ac:dyDescent="0.25">
      <c r="D361" s="19">
        <v>42186</v>
      </c>
      <c r="E361" s="18">
        <v>1785</v>
      </c>
      <c r="F361" t="s">
        <v>8</v>
      </c>
    </row>
    <row r="362" spans="4:6" x14ac:dyDescent="0.25">
      <c r="D362" s="19">
        <v>42156</v>
      </c>
      <c r="E362" s="18">
        <v>1793</v>
      </c>
      <c r="F362" t="s">
        <v>8</v>
      </c>
    </row>
    <row r="363" spans="4:6" x14ac:dyDescent="0.25">
      <c r="D363" s="19">
        <v>42125</v>
      </c>
      <c r="E363" s="18">
        <v>1789</v>
      </c>
      <c r="F363" t="s">
        <v>8</v>
      </c>
    </row>
    <row r="364" spans="4:6" x14ac:dyDescent="0.25">
      <c r="D364" s="19">
        <v>42095</v>
      </c>
      <c r="E364" s="18">
        <v>1794</v>
      </c>
      <c r="F364" t="s">
        <v>8</v>
      </c>
    </row>
    <row r="365" spans="4:6" x14ac:dyDescent="0.25">
      <c r="D365" s="19">
        <v>42064</v>
      </c>
      <c r="E365" s="18">
        <v>1805</v>
      </c>
      <c r="F365" t="s">
        <v>8</v>
      </c>
    </row>
    <row r="366" spans="4:6" x14ac:dyDescent="0.25">
      <c r="D366" s="19">
        <v>42036</v>
      </c>
      <c r="E366" s="18">
        <v>1801</v>
      </c>
      <c r="F366" t="s">
        <v>8</v>
      </c>
    </row>
    <row r="367" spans="4:6" x14ac:dyDescent="0.25">
      <c r="D367" s="19">
        <v>42005</v>
      </c>
      <c r="E367" s="18">
        <v>1787</v>
      </c>
      <c r="F367" t="s">
        <v>8</v>
      </c>
    </row>
    <row r="368" spans="4:6" x14ac:dyDescent="0.25">
      <c r="D368" s="19">
        <v>41974</v>
      </c>
      <c r="E368" s="18">
        <v>1778</v>
      </c>
      <c r="F368" t="s">
        <v>8</v>
      </c>
    </row>
    <row r="369" spans="4:6" x14ac:dyDescent="0.25">
      <c r="D369" s="19">
        <v>41944</v>
      </c>
      <c r="E369" s="18">
        <v>1784</v>
      </c>
      <c r="F369" t="s">
        <v>8</v>
      </c>
    </row>
    <row r="370" spans="4:6" x14ac:dyDescent="0.25">
      <c r="D370" s="19">
        <v>41913</v>
      </c>
      <c r="E370" s="18">
        <v>1769</v>
      </c>
      <c r="F370" t="s">
        <v>8</v>
      </c>
    </row>
    <row r="371" spans="4:6" x14ac:dyDescent="0.25">
      <c r="D371" s="19">
        <v>41883</v>
      </c>
      <c r="E371" s="18">
        <v>1762</v>
      </c>
      <c r="F371" t="s">
        <v>8</v>
      </c>
    </row>
    <row r="372" spans="4:6" x14ac:dyDescent="0.25">
      <c r="D372" s="19">
        <v>41852</v>
      </c>
      <c r="E372" s="18">
        <v>1767</v>
      </c>
      <c r="F372" t="s">
        <v>8</v>
      </c>
    </row>
    <row r="373" spans="4:6" x14ac:dyDescent="0.25">
      <c r="D373" s="19">
        <v>41821</v>
      </c>
      <c r="E373" s="18">
        <v>1779</v>
      </c>
      <c r="F373" t="s">
        <v>8</v>
      </c>
    </row>
    <row r="374" spans="4:6" x14ac:dyDescent="0.25">
      <c r="D374" s="19">
        <v>41791</v>
      </c>
      <c r="E374" s="18">
        <v>1784</v>
      </c>
      <c r="F374" t="s">
        <v>8</v>
      </c>
    </row>
    <row r="375" spans="4:6" x14ac:dyDescent="0.25">
      <c r="D375" s="19">
        <v>41760</v>
      </c>
      <c r="E375" s="18">
        <v>1783</v>
      </c>
      <c r="F375" t="s">
        <v>8</v>
      </c>
    </row>
    <row r="376" spans="4:6" x14ac:dyDescent="0.25">
      <c r="D376" s="19">
        <v>41730</v>
      </c>
      <c r="E376" s="18">
        <v>1790</v>
      </c>
      <c r="F376" t="s">
        <v>8</v>
      </c>
    </row>
    <row r="377" spans="4:6" x14ac:dyDescent="0.25">
      <c r="D377" s="19">
        <v>41699</v>
      </c>
      <c r="E377" s="18">
        <v>1795</v>
      </c>
      <c r="F377" t="s">
        <v>8</v>
      </c>
    </row>
    <row r="378" spans="4:6" x14ac:dyDescent="0.25">
      <c r="D378" s="19">
        <v>41671</v>
      </c>
      <c r="E378" s="18">
        <v>1814</v>
      </c>
      <c r="F378" t="s">
        <v>8</v>
      </c>
    </row>
    <row r="379" spans="4:6" x14ac:dyDescent="0.25">
      <c r="D379" s="19">
        <v>41640</v>
      </c>
      <c r="E379" s="18">
        <v>1820</v>
      </c>
      <c r="F379" t="s">
        <v>8</v>
      </c>
    </row>
    <row r="380" spans="4:6" x14ac:dyDescent="0.25">
      <c r="D380" s="19">
        <v>41609</v>
      </c>
      <c r="E380" s="18">
        <v>1826</v>
      </c>
      <c r="F380" t="s">
        <v>8</v>
      </c>
    </row>
    <row r="381" spans="4:6" x14ac:dyDescent="0.25">
      <c r="D381" s="19">
        <v>41579</v>
      </c>
      <c r="E381" s="18">
        <v>1827</v>
      </c>
      <c r="F381" t="s">
        <v>8</v>
      </c>
    </row>
    <row r="382" spans="4:6" x14ac:dyDescent="0.25">
      <c r="D382" s="19">
        <v>41548</v>
      </c>
      <c r="E382" s="18">
        <v>1829</v>
      </c>
      <c r="F382" t="s">
        <v>8</v>
      </c>
    </row>
    <row r="383" spans="4:6" x14ac:dyDescent="0.25">
      <c r="D383" s="19">
        <v>41518</v>
      </c>
      <c r="E383" s="18">
        <v>1818</v>
      </c>
      <c r="F383" t="s">
        <v>8</v>
      </c>
    </row>
    <row r="384" spans="4:6" x14ac:dyDescent="0.25">
      <c r="D384" s="19">
        <v>41487</v>
      </c>
      <c r="E384" s="18">
        <v>1802</v>
      </c>
      <c r="F384" t="s">
        <v>8</v>
      </c>
    </row>
    <row r="385" spans="4:6" x14ac:dyDescent="0.25">
      <c r="D385" s="19">
        <v>41456</v>
      </c>
      <c r="E385" s="18">
        <v>1818</v>
      </c>
      <c r="F385" t="s">
        <v>8</v>
      </c>
    </row>
    <row r="386" spans="4:6" x14ac:dyDescent="0.25">
      <c r="D386" s="19">
        <v>41426</v>
      </c>
      <c r="E386" s="18">
        <v>1854</v>
      </c>
      <c r="F386" t="s">
        <v>8</v>
      </c>
    </row>
    <row r="387" spans="4:6" x14ac:dyDescent="0.25">
      <c r="D387" s="19">
        <v>41395</v>
      </c>
      <c r="E387" s="18">
        <v>1871</v>
      </c>
      <c r="F387" t="s">
        <v>8</v>
      </c>
    </row>
    <row r="388" spans="4:6" x14ac:dyDescent="0.25">
      <c r="D388" s="19">
        <v>41365</v>
      </c>
      <c r="E388" s="18">
        <v>1863</v>
      </c>
      <c r="F388" t="s">
        <v>8</v>
      </c>
    </row>
    <row r="389" spans="4:6" x14ac:dyDescent="0.25">
      <c r="D389" s="19">
        <v>41334</v>
      </c>
      <c r="E389" s="18">
        <v>1885</v>
      </c>
      <c r="F389" t="s">
        <v>8</v>
      </c>
    </row>
    <row r="390" spans="4:6" x14ac:dyDescent="0.25">
      <c r="D390" s="19">
        <v>41306</v>
      </c>
      <c r="E390" s="18">
        <v>1907</v>
      </c>
      <c r="F390" t="s">
        <v>8</v>
      </c>
    </row>
    <row r="391" spans="4:6" x14ac:dyDescent="0.25">
      <c r="D391" s="19">
        <v>41275</v>
      </c>
      <c r="E391" s="18">
        <v>1953</v>
      </c>
      <c r="F391" t="s">
        <v>8</v>
      </c>
    </row>
    <row r="392" spans="4:6" x14ac:dyDescent="0.25">
      <c r="D392" s="19">
        <v>41244</v>
      </c>
      <c r="E392" s="18">
        <v>1984</v>
      </c>
      <c r="F392" t="s">
        <v>8</v>
      </c>
    </row>
    <row r="393" spans="4:6" x14ac:dyDescent="0.25">
      <c r="D393" s="19">
        <v>41214</v>
      </c>
      <c r="E393" s="18">
        <v>2029</v>
      </c>
      <c r="F393" t="s">
        <v>8</v>
      </c>
    </row>
    <row r="394" spans="4:6" x14ac:dyDescent="0.25">
      <c r="D394" s="19">
        <v>41183</v>
      </c>
      <c r="E394" s="18">
        <v>2045</v>
      </c>
      <c r="F394" t="s">
        <v>8</v>
      </c>
    </row>
    <row r="395" spans="4:6" x14ac:dyDescent="0.25">
      <c r="D395" s="19">
        <v>41153</v>
      </c>
      <c r="E395" s="18">
        <v>2069</v>
      </c>
      <c r="F395" t="s">
        <v>8</v>
      </c>
    </row>
    <row r="396" spans="4:6" x14ac:dyDescent="0.25">
      <c r="D396" s="19">
        <v>41122</v>
      </c>
      <c r="E396" s="18">
        <v>2076</v>
      </c>
      <c r="F396" t="s">
        <v>8</v>
      </c>
    </row>
    <row r="397" spans="4:6" x14ac:dyDescent="0.25">
      <c r="D397" s="19">
        <v>41091</v>
      </c>
      <c r="E397" s="18">
        <v>2108</v>
      </c>
      <c r="F397" t="s">
        <v>8</v>
      </c>
    </row>
    <row r="398" spans="4:6" x14ac:dyDescent="0.25">
      <c r="D398" s="19">
        <v>41061</v>
      </c>
      <c r="E398" s="18">
        <v>2118</v>
      </c>
      <c r="F398" t="s">
        <v>8</v>
      </c>
    </row>
    <row r="399" spans="4:6" x14ac:dyDescent="0.25">
      <c r="D399" s="19">
        <v>41030</v>
      </c>
      <c r="E399" s="18">
        <v>2138</v>
      </c>
      <c r="F399" t="s">
        <v>8</v>
      </c>
    </row>
    <row r="400" spans="4:6" x14ac:dyDescent="0.25">
      <c r="D400" s="19">
        <v>41000</v>
      </c>
      <c r="E400" s="18">
        <v>2174</v>
      </c>
      <c r="F400" t="s">
        <v>8</v>
      </c>
    </row>
    <row r="401" spans="4:6" x14ac:dyDescent="0.25">
      <c r="D401" s="19">
        <v>40969</v>
      </c>
      <c r="E401" s="18">
        <v>2216</v>
      </c>
      <c r="F401" t="s">
        <v>8</v>
      </c>
    </row>
    <row r="402" spans="4:6" x14ac:dyDescent="0.25">
      <c r="D402" s="19">
        <v>40940</v>
      </c>
      <c r="E402" s="18">
        <v>2223</v>
      </c>
      <c r="F402" t="s">
        <v>8</v>
      </c>
    </row>
    <row r="403" spans="4:6" x14ac:dyDescent="0.25">
      <c r="D403" s="19">
        <v>40909</v>
      </c>
      <c r="E403" s="18">
        <v>2234</v>
      </c>
      <c r="F403" t="s">
        <v>8</v>
      </c>
    </row>
    <row r="404" spans="4:6" x14ac:dyDescent="0.25">
      <c r="D404" s="19">
        <v>40878</v>
      </c>
      <c r="E404" s="18">
        <v>2263</v>
      </c>
      <c r="F404" t="s">
        <v>8</v>
      </c>
    </row>
    <row r="405" spans="4:6" x14ac:dyDescent="0.25">
      <c r="D405" s="19">
        <v>40848</v>
      </c>
      <c r="E405" s="18">
        <v>2314</v>
      </c>
      <c r="F405" t="s">
        <v>8</v>
      </c>
    </row>
    <row r="406" spans="4:6" x14ac:dyDescent="0.25">
      <c r="D406" s="19">
        <v>40817</v>
      </c>
      <c r="E406" s="18">
        <v>2327</v>
      </c>
      <c r="F406" t="s">
        <v>8</v>
      </c>
    </row>
    <row r="407" spans="4:6" x14ac:dyDescent="0.25">
      <c r="D407" s="19">
        <v>40787</v>
      </c>
      <c r="E407" s="18">
        <v>2328</v>
      </c>
      <c r="F407" t="s">
        <v>8</v>
      </c>
    </row>
    <row r="408" spans="4:6" x14ac:dyDescent="0.25">
      <c r="D408" s="19">
        <v>40756</v>
      </c>
      <c r="E408" s="18">
        <v>2350</v>
      </c>
      <c r="F408" t="s">
        <v>8</v>
      </c>
    </row>
    <row r="409" spans="4:6" x14ac:dyDescent="0.25">
      <c r="D409" s="19">
        <v>40725</v>
      </c>
      <c r="E409" s="18">
        <v>2375</v>
      </c>
      <c r="F409" t="s">
        <v>8</v>
      </c>
    </row>
    <row r="410" spans="4:6" x14ac:dyDescent="0.25">
      <c r="D410" s="19">
        <v>40695</v>
      </c>
      <c r="E410" s="18">
        <v>2425</v>
      </c>
      <c r="F410" t="s">
        <v>8</v>
      </c>
    </row>
    <row r="411" spans="4:6" x14ac:dyDescent="0.25">
      <c r="D411" s="19">
        <v>40664</v>
      </c>
      <c r="E411" s="18">
        <v>2442</v>
      </c>
      <c r="F411" t="s">
        <v>8</v>
      </c>
    </row>
    <row r="412" spans="4:6" x14ac:dyDescent="0.25">
      <c r="D412" s="19">
        <v>40634</v>
      </c>
      <c r="E412" s="18">
        <v>2484</v>
      </c>
      <c r="F412" t="s">
        <v>8</v>
      </c>
    </row>
    <row r="413" spans="4:6" x14ac:dyDescent="0.25">
      <c r="D413" s="19">
        <v>40603</v>
      </c>
      <c r="E413" s="18">
        <v>2467</v>
      </c>
      <c r="F413" t="s">
        <v>8</v>
      </c>
    </row>
    <row r="414" spans="4:6" x14ac:dyDescent="0.25">
      <c r="D414" s="19">
        <v>40575</v>
      </c>
      <c r="E414" s="18">
        <v>2426</v>
      </c>
      <c r="F414" t="s">
        <v>8</v>
      </c>
    </row>
    <row r="415" spans="4:6" x14ac:dyDescent="0.25">
      <c r="D415" s="19">
        <v>40544</v>
      </c>
      <c r="E415" s="18">
        <v>2406</v>
      </c>
      <c r="F415" t="s">
        <v>8</v>
      </c>
    </row>
    <row r="416" spans="4:6" x14ac:dyDescent="0.25">
      <c r="D416" s="19">
        <v>40513</v>
      </c>
      <c r="E416" s="18">
        <v>2398</v>
      </c>
      <c r="F416" t="s">
        <v>8</v>
      </c>
    </row>
    <row r="417" spans="4:6" x14ac:dyDescent="0.25">
      <c r="D417" s="19">
        <v>40483</v>
      </c>
      <c r="E417" s="18">
        <v>2400</v>
      </c>
      <c r="F417" t="s">
        <v>8</v>
      </c>
    </row>
    <row r="418" spans="4:6" x14ac:dyDescent="0.25">
      <c r="D418" s="19">
        <v>40452</v>
      </c>
      <c r="E418" s="18">
        <v>2385</v>
      </c>
      <c r="F418" t="s">
        <v>8</v>
      </c>
    </row>
    <row r="419" spans="4:6" x14ac:dyDescent="0.25">
      <c r="D419" s="19">
        <v>40422</v>
      </c>
      <c r="E419" s="18">
        <v>2376</v>
      </c>
      <c r="F419" t="s">
        <v>8</v>
      </c>
    </row>
    <row r="420" spans="4:6" x14ac:dyDescent="0.25">
      <c r="D420" s="19">
        <v>40391</v>
      </c>
      <c r="E420" s="18">
        <v>2277</v>
      </c>
      <c r="F420" t="s">
        <v>8</v>
      </c>
    </row>
    <row r="421" spans="4:6" x14ac:dyDescent="0.25">
      <c r="D421" s="19">
        <v>40360</v>
      </c>
      <c r="E421" s="18">
        <v>2300</v>
      </c>
      <c r="F421" t="s">
        <v>8</v>
      </c>
    </row>
    <row r="422" spans="4:6" x14ac:dyDescent="0.25">
      <c r="D422" s="19">
        <v>40330</v>
      </c>
      <c r="E422" s="18">
        <v>2321</v>
      </c>
      <c r="F422" t="s">
        <v>8</v>
      </c>
    </row>
    <row r="423" spans="4:6" x14ac:dyDescent="0.25">
      <c r="D423" s="19">
        <v>40299</v>
      </c>
      <c r="E423" s="18">
        <v>2326</v>
      </c>
      <c r="F423" t="s">
        <v>8</v>
      </c>
    </row>
    <row r="424" spans="4:6" x14ac:dyDescent="0.25">
      <c r="D424" s="19">
        <v>40269</v>
      </c>
      <c r="E424" s="18">
        <v>2305</v>
      </c>
      <c r="F424" t="s">
        <v>8</v>
      </c>
    </row>
    <row r="425" spans="4:6" x14ac:dyDescent="0.25">
      <c r="D425" s="19">
        <v>40238</v>
      </c>
      <c r="E425" s="18">
        <v>2349</v>
      </c>
      <c r="F425" t="s">
        <v>8</v>
      </c>
    </row>
    <row r="426" spans="4:6" x14ac:dyDescent="0.25">
      <c r="D426" s="19">
        <v>40210</v>
      </c>
      <c r="E426" s="18">
        <v>2348</v>
      </c>
      <c r="F426" t="s">
        <v>8</v>
      </c>
    </row>
    <row r="427" spans="4:6" x14ac:dyDescent="0.25">
      <c r="D427" s="19">
        <v>40179</v>
      </c>
      <c r="E427" s="18">
        <v>2399</v>
      </c>
      <c r="F427" t="s">
        <v>8</v>
      </c>
    </row>
    <row r="428" spans="4:6" x14ac:dyDescent="0.25">
      <c r="D428" s="19">
        <v>40148</v>
      </c>
      <c r="E428" s="18">
        <v>2344</v>
      </c>
      <c r="F428" t="s">
        <v>8</v>
      </c>
    </row>
    <row r="429" spans="4:6" x14ac:dyDescent="0.25">
      <c r="D429" s="19">
        <v>40118</v>
      </c>
      <c r="E429" s="18">
        <v>2347</v>
      </c>
      <c r="F429" t="s">
        <v>8</v>
      </c>
    </row>
    <row r="430" spans="4:6" x14ac:dyDescent="0.25">
      <c r="D430" s="19">
        <v>40087</v>
      </c>
      <c r="E430" s="18">
        <v>2350</v>
      </c>
      <c r="F430" t="s">
        <v>8</v>
      </c>
    </row>
    <row r="431" spans="4:6" x14ac:dyDescent="0.25">
      <c r="D431" s="19">
        <v>40057</v>
      </c>
      <c r="E431" s="18">
        <v>2354</v>
      </c>
      <c r="F431" t="s">
        <v>8</v>
      </c>
    </row>
    <row r="432" spans="4:6" x14ac:dyDescent="0.25">
      <c r="D432" s="19">
        <v>40026</v>
      </c>
      <c r="E432" s="18">
        <v>2354</v>
      </c>
      <c r="F432" t="s">
        <v>8</v>
      </c>
    </row>
    <row r="433" spans="4:6" x14ac:dyDescent="0.25">
      <c r="D433" s="19">
        <v>39995</v>
      </c>
      <c r="E433" s="18">
        <v>2348</v>
      </c>
      <c r="F433" t="s">
        <v>8</v>
      </c>
    </row>
    <row r="434" spans="4:6" x14ac:dyDescent="0.25">
      <c r="D434" s="19">
        <v>39965</v>
      </c>
      <c r="E434" s="18">
        <v>2377</v>
      </c>
      <c r="F434" t="s">
        <v>8</v>
      </c>
    </row>
    <row r="435" spans="4:6" x14ac:dyDescent="0.25">
      <c r="D435" s="19">
        <v>39934</v>
      </c>
      <c r="E435" s="18">
        <v>2422</v>
      </c>
      <c r="F435" t="s">
        <v>8</v>
      </c>
    </row>
    <row r="436" spans="4:6" x14ac:dyDescent="0.25">
      <c r="D436" s="19">
        <v>39904</v>
      </c>
      <c r="E436" s="18">
        <v>2447</v>
      </c>
      <c r="F436" t="s">
        <v>8</v>
      </c>
    </row>
    <row r="437" spans="4:6" x14ac:dyDescent="0.25">
      <c r="D437" s="19">
        <v>39873</v>
      </c>
      <c r="E437" s="18">
        <v>2459</v>
      </c>
      <c r="F437" t="s">
        <v>8</v>
      </c>
    </row>
    <row r="438" spans="4:6" x14ac:dyDescent="0.25">
      <c r="D438" s="19">
        <v>39845</v>
      </c>
      <c r="E438" s="18">
        <v>2433</v>
      </c>
      <c r="F438" t="s">
        <v>8</v>
      </c>
    </row>
    <row r="439" spans="4:6" x14ac:dyDescent="0.25">
      <c r="D439" s="19">
        <v>39814</v>
      </c>
      <c r="E439" s="18">
        <v>2460</v>
      </c>
      <c r="F439" t="s">
        <v>8</v>
      </c>
    </row>
    <row r="440" spans="4:6" x14ac:dyDescent="0.25">
      <c r="D440" s="19">
        <v>39783</v>
      </c>
      <c r="E440" s="18">
        <v>2459</v>
      </c>
      <c r="F440" t="s">
        <v>8</v>
      </c>
    </row>
    <row r="441" spans="4:6" x14ac:dyDescent="0.25">
      <c r="D441" s="19">
        <v>39753</v>
      </c>
      <c r="E441" s="18">
        <v>2512</v>
      </c>
      <c r="F441" t="s">
        <v>8</v>
      </c>
    </row>
    <row r="442" spans="4:6" x14ac:dyDescent="0.25">
      <c r="D442" s="19">
        <v>39722</v>
      </c>
      <c r="E442" s="18">
        <v>2547</v>
      </c>
      <c r="F442" t="s">
        <v>8</v>
      </c>
    </row>
    <row r="443" spans="4:6" x14ac:dyDescent="0.25">
      <c r="D443" s="19">
        <v>39692</v>
      </c>
      <c r="E443" s="18">
        <v>2541</v>
      </c>
      <c r="F443" t="s">
        <v>8</v>
      </c>
    </row>
    <row r="444" spans="4:6" x14ac:dyDescent="0.25">
      <c r="D444" s="19">
        <v>39661</v>
      </c>
      <c r="E444" s="18">
        <v>2539</v>
      </c>
      <c r="F444" t="s">
        <v>8</v>
      </c>
    </row>
    <row r="445" spans="4:6" x14ac:dyDescent="0.25">
      <c r="D445" s="19">
        <v>39630</v>
      </c>
      <c r="E445" s="18">
        <v>2582</v>
      </c>
      <c r="F445" t="s">
        <v>8</v>
      </c>
    </row>
    <row r="446" spans="4:6" x14ac:dyDescent="0.25">
      <c r="D446" s="19">
        <v>39600</v>
      </c>
      <c r="E446" s="18">
        <v>2588</v>
      </c>
      <c r="F446" t="s">
        <v>8</v>
      </c>
    </row>
    <row r="447" spans="4:6" x14ac:dyDescent="0.25">
      <c r="D447" s="19">
        <v>39569</v>
      </c>
      <c r="E447" s="18">
        <v>2620</v>
      </c>
      <c r="F447" t="s">
        <v>8</v>
      </c>
    </row>
    <row r="448" spans="4:6" x14ac:dyDescent="0.25">
      <c r="D448" s="19">
        <v>39539</v>
      </c>
      <c r="E448" s="18">
        <v>2584</v>
      </c>
      <c r="F448" t="s">
        <v>8</v>
      </c>
    </row>
    <row r="449" spans="4:6" x14ac:dyDescent="0.25">
      <c r="D449" s="19">
        <v>39508</v>
      </c>
      <c r="E449" s="18">
        <v>2617</v>
      </c>
      <c r="F449" t="s">
        <v>8</v>
      </c>
    </row>
    <row r="450" spans="4:6" x14ac:dyDescent="0.25">
      <c r="D450" s="19">
        <v>39479</v>
      </c>
      <c r="E450" s="18">
        <v>2569</v>
      </c>
      <c r="F450" t="s">
        <v>8</v>
      </c>
    </row>
    <row r="451" spans="4:6" x14ac:dyDescent="0.25">
      <c r="D451" s="19">
        <v>39448</v>
      </c>
      <c r="E451" s="18">
        <v>2606</v>
      </c>
      <c r="F451" t="s">
        <v>8</v>
      </c>
    </row>
    <row r="452" spans="4:6" x14ac:dyDescent="0.25">
      <c r="D452" s="19">
        <v>39417</v>
      </c>
      <c r="E452" s="18">
        <v>2628</v>
      </c>
      <c r="F452" t="s">
        <v>8</v>
      </c>
    </row>
    <row r="453" spans="4:6" x14ac:dyDescent="0.25">
      <c r="D453" s="19">
        <v>39387</v>
      </c>
      <c r="E453" s="18">
        <v>2598</v>
      </c>
      <c r="F453" t="s">
        <v>8</v>
      </c>
    </row>
    <row r="454" spans="4:6" x14ac:dyDescent="0.25">
      <c r="D454" s="19">
        <v>39356</v>
      </c>
      <c r="E454" s="18">
        <v>2620</v>
      </c>
      <c r="F454" t="s">
        <v>8</v>
      </c>
    </row>
    <row r="455" spans="4:6" x14ac:dyDescent="0.25">
      <c r="D455" s="19">
        <v>39326</v>
      </c>
      <c r="E455" s="18">
        <v>2646</v>
      </c>
      <c r="F455" t="s">
        <v>8</v>
      </c>
    </row>
    <row r="456" spans="4:6" x14ac:dyDescent="0.25">
      <c r="D456" s="19">
        <v>39295</v>
      </c>
      <c r="E456" s="18">
        <v>2476</v>
      </c>
      <c r="F456" t="s">
        <v>8</v>
      </c>
    </row>
    <row r="457" spans="4:6" x14ac:dyDescent="0.25">
      <c r="D457" s="19">
        <v>39264</v>
      </c>
      <c r="E457" s="18">
        <v>2478</v>
      </c>
      <c r="F457" t="s">
        <v>8</v>
      </c>
    </row>
    <row r="458" spans="4:6" x14ac:dyDescent="0.25">
      <c r="D458" s="19">
        <v>39234</v>
      </c>
      <c r="E458" s="18">
        <v>2478</v>
      </c>
      <c r="F458" t="s">
        <v>8</v>
      </c>
    </row>
    <row r="459" spans="4:6" x14ac:dyDescent="0.25">
      <c r="D459" s="19">
        <v>45901</v>
      </c>
      <c r="E459" s="18">
        <v>4343</v>
      </c>
      <c r="F459" t="s">
        <v>61</v>
      </c>
    </row>
    <row r="460" spans="4:6" x14ac:dyDescent="0.25">
      <c r="D460" s="19">
        <v>45870</v>
      </c>
      <c r="E460" s="18">
        <v>4384</v>
      </c>
      <c r="F460" t="s">
        <v>61</v>
      </c>
    </row>
    <row r="461" spans="4:6" x14ac:dyDescent="0.25">
      <c r="D461" s="19">
        <v>45839</v>
      </c>
      <c r="E461" s="18">
        <v>4359</v>
      </c>
      <c r="F461" t="s">
        <v>61</v>
      </c>
    </row>
    <row r="462" spans="4:6" x14ac:dyDescent="0.25">
      <c r="D462" s="19">
        <v>45809</v>
      </c>
      <c r="E462" s="18">
        <v>4289</v>
      </c>
      <c r="F462" t="s">
        <v>61</v>
      </c>
    </row>
    <row r="463" spans="4:6" x14ac:dyDescent="0.25">
      <c r="D463" s="19">
        <v>45778</v>
      </c>
      <c r="E463" s="18">
        <v>4234</v>
      </c>
      <c r="F463" t="s">
        <v>61</v>
      </c>
    </row>
    <row r="464" spans="4:6" x14ac:dyDescent="0.25">
      <c r="D464" s="19">
        <v>45748</v>
      </c>
      <c r="E464" s="18">
        <v>4148</v>
      </c>
      <c r="F464" t="s">
        <v>61</v>
      </c>
    </row>
    <row r="465" spans="4:6" x14ac:dyDescent="0.25">
      <c r="D465" s="19">
        <v>45717</v>
      </c>
      <c r="E465" s="18">
        <v>4013</v>
      </c>
      <c r="F465" t="s">
        <v>61</v>
      </c>
    </row>
    <row r="466" spans="4:6" x14ac:dyDescent="0.25">
      <c r="D466" s="19">
        <v>45689</v>
      </c>
      <c r="E466" s="18">
        <v>3949</v>
      </c>
      <c r="F466" t="s">
        <v>61</v>
      </c>
    </row>
    <row r="467" spans="4:6" x14ac:dyDescent="0.25">
      <c r="D467" s="19">
        <v>45658</v>
      </c>
      <c r="E467" s="18">
        <v>3851</v>
      </c>
      <c r="F467" t="s">
        <v>61</v>
      </c>
    </row>
    <row r="468" spans="4:6" x14ac:dyDescent="0.25">
      <c r="D468" s="19">
        <v>45627</v>
      </c>
      <c r="E468" s="18">
        <v>3771</v>
      </c>
      <c r="F468" t="s">
        <v>61</v>
      </c>
    </row>
    <row r="469" spans="4:6" x14ac:dyDescent="0.25">
      <c r="D469" s="19">
        <v>45597</v>
      </c>
      <c r="E469" s="18">
        <v>3712</v>
      </c>
      <c r="F469" t="s">
        <v>61</v>
      </c>
    </row>
    <row r="470" spans="4:6" x14ac:dyDescent="0.25">
      <c r="D470" s="19">
        <v>45566</v>
      </c>
      <c r="E470" s="18">
        <v>3638</v>
      </c>
      <c r="F470" t="s">
        <v>61</v>
      </c>
    </row>
    <row r="471" spans="4:6" x14ac:dyDescent="0.25">
      <c r="D471" s="19">
        <v>45536</v>
      </c>
      <c r="E471" s="18">
        <v>3569</v>
      </c>
      <c r="F471" t="s">
        <v>61</v>
      </c>
    </row>
    <row r="472" spans="4:6" x14ac:dyDescent="0.25">
      <c r="D472" s="19">
        <v>45505</v>
      </c>
      <c r="E472" s="18">
        <v>3554</v>
      </c>
      <c r="F472" t="s">
        <v>61</v>
      </c>
    </row>
    <row r="473" spans="4:6" x14ac:dyDescent="0.25">
      <c r="D473" s="19">
        <v>45474</v>
      </c>
      <c r="E473" s="18">
        <v>3504</v>
      </c>
      <c r="F473" t="s">
        <v>61</v>
      </c>
    </row>
    <row r="474" spans="4:6" x14ac:dyDescent="0.25">
      <c r="D474" s="19">
        <v>45444</v>
      </c>
      <c r="E474" s="18">
        <v>3440</v>
      </c>
      <c r="F474" t="s">
        <v>61</v>
      </c>
    </row>
    <row r="475" spans="4:6" x14ac:dyDescent="0.25">
      <c r="D475" s="19">
        <v>45413</v>
      </c>
      <c r="E475" s="18">
        <v>3406</v>
      </c>
      <c r="F475" t="s">
        <v>61</v>
      </c>
    </row>
    <row r="476" spans="4:6" x14ac:dyDescent="0.25">
      <c r="D476" s="19">
        <v>45383</v>
      </c>
      <c r="E476" s="18">
        <v>3367</v>
      </c>
      <c r="F476" t="s">
        <v>61</v>
      </c>
    </row>
    <row r="477" spans="4:6" x14ac:dyDescent="0.25">
      <c r="D477" s="19">
        <v>45352</v>
      </c>
      <c r="E477" s="18">
        <v>3331</v>
      </c>
      <c r="F477" t="s">
        <v>61</v>
      </c>
    </row>
    <row r="478" spans="4:6" x14ac:dyDescent="0.25">
      <c r="D478" s="19">
        <v>45323</v>
      </c>
      <c r="E478" s="18">
        <v>3292</v>
      </c>
      <c r="F478" t="s">
        <v>61</v>
      </c>
    </row>
    <row r="479" spans="4:6" x14ac:dyDescent="0.25">
      <c r="D479" s="19">
        <v>45292</v>
      </c>
      <c r="E479" s="18">
        <v>3247</v>
      </c>
      <c r="F479" t="s">
        <v>61</v>
      </c>
    </row>
    <row r="480" spans="4:6" x14ac:dyDescent="0.25">
      <c r="D480" s="19">
        <v>45261</v>
      </c>
      <c r="E480" s="18">
        <v>3208</v>
      </c>
      <c r="F480" t="s">
        <v>61</v>
      </c>
    </row>
    <row r="481" spans="4:6" x14ac:dyDescent="0.25">
      <c r="D481" s="19">
        <v>45231</v>
      </c>
      <c r="E481" s="18">
        <v>3170</v>
      </c>
      <c r="F481" t="s">
        <v>61</v>
      </c>
    </row>
    <row r="482" spans="4:6" x14ac:dyDescent="0.25">
      <c r="D482" s="19">
        <v>45200</v>
      </c>
      <c r="E482" s="18">
        <v>3152</v>
      </c>
      <c r="F482" t="s">
        <v>61</v>
      </c>
    </row>
    <row r="483" spans="4:6" x14ac:dyDescent="0.25">
      <c r="D483" s="19">
        <v>45170</v>
      </c>
      <c r="E483" s="18">
        <v>3129</v>
      </c>
      <c r="F483" t="s">
        <v>61</v>
      </c>
    </row>
    <row r="484" spans="4:6" x14ac:dyDescent="0.25">
      <c r="D484" s="19">
        <v>45139</v>
      </c>
      <c r="E484" s="18">
        <v>3139</v>
      </c>
      <c r="F484" t="s">
        <v>61</v>
      </c>
    </row>
    <row r="485" spans="4:6" x14ac:dyDescent="0.25">
      <c r="D485" s="19">
        <v>45108</v>
      </c>
      <c r="E485" s="18">
        <v>3143</v>
      </c>
      <c r="F485" t="s">
        <v>61</v>
      </c>
    </row>
    <row r="486" spans="4:6" x14ac:dyDescent="0.25">
      <c r="D486" s="19">
        <v>45078</v>
      </c>
      <c r="E486" s="18">
        <v>3142</v>
      </c>
      <c r="F486" t="s">
        <v>61</v>
      </c>
    </row>
    <row r="487" spans="4:6" x14ac:dyDescent="0.25">
      <c r="D487" s="19">
        <v>45047</v>
      </c>
      <c r="E487" s="18">
        <v>3124</v>
      </c>
      <c r="F487" t="s">
        <v>61</v>
      </c>
    </row>
    <row r="488" spans="4:6" x14ac:dyDescent="0.25">
      <c r="D488" s="19">
        <v>45017</v>
      </c>
      <c r="E488" s="18">
        <v>3134</v>
      </c>
      <c r="F488" t="s">
        <v>61</v>
      </c>
    </row>
    <row r="489" spans="4:6" x14ac:dyDescent="0.25">
      <c r="D489" s="19">
        <v>44986</v>
      </c>
      <c r="E489" s="18">
        <v>3111</v>
      </c>
      <c r="F489" t="s">
        <v>61</v>
      </c>
    </row>
    <row r="490" spans="4:6" x14ac:dyDescent="0.25">
      <c r="D490" s="19">
        <v>44958</v>
      </c>
      <c r="E490" s="18">
        <v>3083</v>
      </c>
      <c r="F490" t="s">
        <v>61</v>
      </c>
    </row>
    <row r="491" spans="4:6" x14ac:dyDescent="0.25">
      <c r="D491" s="19">
        <v>44927</v>
      </c>
      <c r="E491" s="18">
        <v>3061</v>
      </c>
      <c r="F491" t="s">
        <v>61</v>
      </c>
    </row>
    <row r="492" spans="4:6" x14ac:dyDescent="0.25">
      <c r="D492" s="19">
        <v>44896</v>
      </c>
      <c r="E492" s="18">
        <v>3062</v>
      </c>
      <c r="F492" t="s">
        <v>61</v>
      </c>
    </row>
    <row r="493" spans="4:6" x14ac:dyDescent="0.25">
      <c r="D493" s="19">
        <v>44866</v>
      </c>
      <c r="E493" s="18">
        <v>3075</v>
      </c>
      <c r="F493" t="s">
        <v>61</v>
      </c>
    </row>
    <row r="494" spans="4:6" x14ac:dyDescent="0.25">
      <c r="D494" s="19">
        <v>44835</v>
      </c>
      <c r="E494" s="18">
        <v>3057</v>
      </c>
      <c r="F494" t="s">
        <v>61</v>
      </c>
    </row>
    <row r="495" spans="4:6" x14ac:dyDescent="0.25">
      <c r="D495" s="19">
        <v>44805</v>
      </c>
      <c r="E495" s="18">
        <v>3043</v>
      </c>
      <c r="F495" t="s">
        <v>61</v>
      </c>
    </row>
    <row r="496" spans="4:6" x14ac:dyDescent="0.25">
      <c r="D496" s="19">
        <v>44774</v>
      </c>
      <c r="E496" s="18">
        <v>3052</v>
      </c>
      <c r="F496" t="s">
        <v>61</v>
      </c>
    </row>
    <row r="497" spans="4:6" x14ac:dyDescent="0.25">
      <c r="D497" s="19">
        <v>44743</v>
      </c>
      <c r="E497" s="18">
        <v>3032</v>
      </c>
      <c r="F497" t="s">
        <v>61</v>
      </c>
    </row>
    <row r="498" spans="4:6" x14ac:dyDescent="0.25">
      <c r="D498" s="19">
        <v>44713</v>
      </c>
      <c r="E498" s="18">
        <v>3013</v>
      </c>
      <c r="F498" t="s">
        <v>61</v>
      </c>
    </row>
    <row r="499" spans="4:6" x14ac:dyDescent="0.25">
      <c r="D499" s="19">
        <v>44682</v>
      </c>
      <c r="E499" s="18">
        <v>2996</v>
      </c>
      <c r="F499" t="s">
        <v>61</v>
      </c>
    </row>
    <row r="500" spans="4:6" x14ac:dyDescent="0.25">
      <c r="D500" s="19">
        <v>44652</v>
      </c>
      <c r="E500" s="18">
        <v>2971</v>
      </c>
      <c r="F500" t="s">
        <v>61</v>
      </c>
    </row>
    <row r="501" spans="4:6" x14ac:dyDescent="0.25">
      <c r="D501" s="19">
        <v>44621</v>
      </c>
      <c r="E501" s="18">
        <v>2954</v>
      </c>
      <c r="F501" t="s">
        <v>61</v>
      </c>
    </row>
    <row r="502" spans="4:6" x14ac:dyDescent="0.25">
      <c r="D502" s="19">
        <v>44593</v>
      </c>
      <c r="E502" s="18">
        <v>2948</v>
      </c>
      <c r="F502" t="s">
        <v>61</v>
      </c>
    </row>
    <row r="503" spans="4:6" x14ac:dyDescent="0.25">
      <c r="D503" s="19">
        <v>44562</v>
      </c>
      <c r="E503" s="18">
        <v>2922</v>
      </c>
      <c r="F503" t="s">
        <v>61</v>
      </c>
    </row>
    <row r="504" spans="4:6" x14ac:dyDescent="0.25">
      <c r="D504" s="19">
        <v>44531</v>
      </c>
      <c r="E504" s="18">
        <v>2897</v>
      </c>
      <c r="F504" t="s">
        <v>61</v>
      </c>
    </row>
    <row r="505" spans="4:6" x14ac:dyDescent="0.25">
      <c r="D505" s="19">
        <v>44501</v>
      </c>
      <c r="E505" s="18">
        <v>2878</v>
      </c>
      <c r="F505" t="s">
        <v>61</v>
      </c>
    </row>
    <row r="506" spans="4:6" x14ac:dyDescent="0.25">
      <c r="D506" s="19">
        <v>44470</v>
      </c>
      <c r="E506" s="18">
        <v>2871</v>
      </c>
      <c r="F506" t="s">
        <v>61</v>
      </c>
    </row>
    <row r="507" spans="4:6" x14ac:dyDescent="0.25">
      <c r="D507" s="19">
        <v>44440</v>
      </c>
      <c r="E507" s="18">
        <v>2880</v>
      </c>
      <c r="F507" t="s">
        <v>61</v>
      </c>
    </row>
    <row r="508" spans="4:6" x14ac:dyDescent="0.25">
      <c r="D508" s="19">
        <v>44409</v>
      </c>
      <c r="E508" s="18">
        <v>2883</v>
      </c>
      <c r="F508" t="s">
        <v>61</v>
      </c>
    </row>
    <row r="509" spans="4:6" x14ac:dyDescent="0.25">
      <c r="D509" s="19">
        <v>44378</v>
      </c>
      <c r="E509" s="18">
        <v>2894</v>
      </c>
      <c r="F509" t="s">
        <v>61</v>
      </c>
    </row>
    <row r="510" spans="4:6" x14ac:dyDescent="0.25">
      <c r="D510" s="19">
        <v>44348</v>
      </c>
      <c r="E510" s="18">
        <v>2885</v>
      </c>
      <c r="F510" t="s">
        <v>61</v>
      </c>
    </row>
    <row r="511" spans="4:6" x14ac:dyDescent="0.25">
      <c r="D511" s="19">
        <v>44317</v>
      </c>
      <c r="E511" s="18">
        <v>2855</v>
      </c>
      <c r="F511" t="s">
        <v>61</v>
      </c>
    </row>
    <row r="512" spans="4:6" x14ac:dyDescent="0.25">
      <c r="D512" s="19">
        <v>44287</v>
      </c>
      <c r="E512" s="18">
        <v>2826</v>
      </c>
      <c r="F512" t="s">
        <v>61</v>
      </c>
    </row>
    <row r="513" spans="4:6" x14ac:dyDescent="0.25">
      <c r="D513" s="19">
        <v>44256</v>
      </c>
      <c r="E513" s="18">
        <v>2823</v>
      </c>
      <c r="F513" t="s">
        <v>61</v>
      </c>
    </row>
    <row r="514" spans="4:6" x14ac:dyDescent="0.25">
      <c r="D514" s="19">
        <v>44228</v>
      </c>
      <c r="E514" s="18">
        <v>2808</v>
      </c>
      <c r="F514" t="s">
        <v>61</v>
      </c>
    </row>
    <row r="515" spans="4:6" x14ac:dyDescent="0.25">
      <c r="D515" s="19">
        <v>44197</v>
      </c>
      <c r="E515" s="18">
        <v>2786</v>
      </c>
      <c r="F515" t="s">
        <v>61</v>
      </c>
    </row>
    <row r="516" spans="4:6" x14ac:dyDescent="0.25">
      <c r="D516" s="19">
        <v>44166</v>
      </c>
      <c r="E516" s="18">
        <v>2774</v>
      </c>
      <c r="F516" t="s">
        <v>61</v>
      </c>
    </row>
    <row r="517" spans="4:6" x14ac:dyDescent="0.25">
      <c r="D517" s="19">
        <v>44136</v>
      </c>
      <c r="E517" s="18">
        <v>2757</v>
      </c>
      <c r="F517" t="s">
        <v>61</v>
      </c>
    </row>
    <row r="518" spans="4:6" x14ac:dyDescent="0.25">
      <c r="D518" s="19">
        <v>44105</v>
      </c>
      <c r="E518" s="18">
        <v>2727</v>
      </c>
      <c r="F518" t="s">
        <v>61</v>
      </c>
    </row>
    <row r="519" spans="4:6" x14ac:dyDescent="0.25">
      <c r="D519" s="19">
        <v>44075</v>
      </c>
      <c r="E519" s="18">
        <v>2714</v>
      </c>
      <c r="F519" t="s">
        <v>61</v>
      </c>
    </row>
    <row r="520" spans="4:6" x14ac:dyDescent="0.25">
      <c r="D520" s="19">
        <v>44044</v>
      </c>
      <c r="E520" s="18">
        <v>2720</v>
      </c>
      <c r="F520" t="s">
        <v>61</v>
      </c>
    </row>
    <row r="521" spans="4:6" x14ac:dyDescent="0.25">
      <c r="D521" s="19">
        <v>44013</v>
      </c>
      <c r="E521" s="18">
        <v>2719</v>
      </c>
      <c r="F521" t="s">
        <v>61</v>
      </c>
    </row>
    <row r="522" spans="4:6" x14ac:dyDescent="0.25">
      <c r="D522" s="19">
        <v>43983</v>
      </c>
      <c r="E522" s="18">
        <v>2695</v>
      </c>
      <c r="F522" t="s">
        <v>61</v>
      </c>
    </row>
    <row r="523" spans="4:6" x14ac:dyDescent="0.25">
      <c r="D523" s="19">
        <v>43952</v>
      </c>
      <c r="E523" s="18">
        <v>2715</v>
      </c>
      <c r="F523" t="s">
        <v>61</v>
      </c>
    </row>
    <row r="524" spans="4:6" x14ac:dyDescent="0.25">
      <c r="D524" s="19">
        <v>43922</v>
      </c>
      <c r="E524" s="18">
        <v>2721</v>
      </c>
      <c r="F524" t="s">
        <v>61</v>
      </c>
    </row>
    <row r="525" spans="4:6" x14ac:dyDescent="0.25">
      <c r="D525" s="19">
        <v>43891</v>
      </c>
      <c r="E525" s="18">
        <v>2723</v>
      </c>
      <c r="F525" t="s">
        <v>61</v>
      </c>
    </row>
    <row r="526" spans="4:6" x14ac:dyDescent="0.25">
      <c r="D526" s="19">
        <v>43862</v>
      </c>
      <c r="E526" s="18">
        <v>2715</v>
      </c>
      <c r="F526" t="s">
        <v>61</v>
      </c>
    </row>
    <row r="527" spans="4:6" x14ac:dyDescent="0.25">
      <c r="D527" s="19">
        <v>43831</v>
      </c>
      <c r="E527" s="18">
        <v>2710</v>
      </c>
      <c r="F527" t="s">
        <v>61</v>
      </c>
    </row>
    <row r="528" spans="4:6" x14ac:dyDescent="0.25">
      <c r="D528" s="19">
        <v>43800</v>
      </c>
      <c r="E528" s="18">
        <v>2723</v>
      </c>
      <c r="F528" t="s">
        <v>61</v>
      </c>
    </row>
    <row r="529" spans="4:6" x14ac:dyDescent="0.25">
      <c r="D529" s="19">
        <v>43770</v>
      </c>
      <c r="E529" s="18">
        <v>2726</v>
      </c>
      <c r="F529" t="s">
        <v>61</v>
      </c>
    </row>
    <row r="530" spans="4:6" x14ac:dyDescent="0.25">
      <c r="D530" s="19">
        <v>43739</v>
      </c>
      <c r="E530" s="18">
        <v>2711</v>
      </c>
      <c r="F530" t="s">
        <v>61</v>
      </c>
    </row>
    <row r="531" spans="4:6" x14ac:dyDescent="0.25">
      <c r="D531" s="19">
        <v>43709</v>
      </c>
      <c r="E531" s="18">
        <v>2701</v>
      </c>
      <c r="F531" t="s">
        <v>61</v>
      </c>
    </row>
    <row r="532" spans="4:6" x14ac:dyDescent="0.25">
      <c r="D532" s="19">
        <v>43678</v>
      </c>
      <c r="E532" s="18">
        <v>2734</v>
      </c>
      <c r="F532" t="s">
        <v>61</v>
      </c>
    </row>
    <row r="533" spans="4:6" x14ac:dyDescent="0.25">
      <c r="D533" s="19">
        <v>43647</v>
      </c>
      <c r="E533" s="18">
        <v>2742</v>
      </c>
      <c r="F533" t="s">
        <v>61</v>
      </c>
    </row>
    <row r="534" spans="4:6" x14ac:dyDescent="0.25">
      <c r="D534" s="19">
        <v>43617</v>
      </c>
      <c r="E534" s="18">
        <v>2734</v>
      </c>
      <c r="F534" t="s">
        <v>61</v>
      </c>
    </row>
    <row r="535" spans="4:6" x14ac:dyDescent="0.25">
      <c r="D535" s="19">
        <v>43586</v>
      </c>
      <c r="E535" s="18">
        <v>2736</v>
      </c>
      <c r="F535" t="s">
        <v>61</v>
      </c>
    </row>
    <row r="536" spans="4:6" x14ac:dyDescent="0.25">
      <c r="D536" s="19">
        <v>43556</v>
      </c>
      <c r="E536" s="18">
        <v>2733</v>
      </c>
      <c r="F536" t="s">
        <v>61</v>
      </c>
    </row>
    <row r="537" spans="4:6" x14ac:dyDescent="0.25">
      <c r="D537" s="19">
        <v>43525</v>
      </c>
      <c r="E537" s="18">
        <v>2723</v>
      </c>
      <c r="F537" t="s">
        <v>61</v>
      </c>
    </row>
    <row r="538" spans="4:6" x14ac:dyDescent="0.25">
      <c r="D538" s="19">
        <v>43497</v>
      </c>
      <c r="E538" s="18">
        <v>2705</v>
      </c>
      <c r="F538" t="s">
        <v>61</v>
      </c>
    </row>
    <row r="539" spans="4:6" x14ac:dyDescent="0.25">
      <c r="D539" s="19">
        <v>43466</v>
      </c>
      <c r="E539" s="18">
        <v>2677</v>
      </c>
      <c r="F539" t="s">
        <v>61</v>
      </c>
    </row>
    <row r="540" spans="4:6" x14ac:dyDescent="0.25">
      <c r="D540" s="19">
        <v>43435</v>
      </c>
      <c r="E540" s="18">
        <v>2658</v>
      </c>
      <c r="F540" t="s">
        <v>61</v>
      </c>
    </row>
    <row r="541" spans="4:6" x14ac:dyDescent="0.25">
      <c r="D541" s="19">
        <v>43405</v>
      </c>
      <c r="E541" s="18">
        <v>2633</v>
      </c>
      <c r="F541" t="s">
        <v>61</v>
      </c>
    </row>
    <row r="542" spans="4:6" x14ac:dyDescent="0.25">
      <c r="D542" s="19">
        <v>43374</v>
      </c>
      <c r="E542" s="18">
        <v>2577</v>
      </c>
      <c r="F542" t="s">
        <v>61</v>
      </c>
    </row>
    <row r="543" spans="4:6" x14ac:dyDescent="0.25">
      <c r="D543" s="19">
        <v>43344</v>
      </c>
      <c r="E543" s="18">
        <v>2546</v>
      </c>
      <c r="F543" t="s">
        <v>61</v>
      </c>
    </row>
    <row r="544" spans="4:6" x14ac:dyDescent="0.25">
      <c r="D544" s="19">
        <v>43313</v>
      </c>
      <c r="E544" s="18">
        <v>2542</v>
      </c>
      <c r="F544" t="s">
        <v>61</v>
      </c>
    </row>
    <row r="545" spans="4:6" x14ac:dyDescent="0.25">
      <c r="D545" s="19">
        <v>43282</v>
      </c>
      <c r="E545" s="18">
        <v>2512</v>
      </c>
      <c r="F545" t="s">
        <v>61</v>
      </c>
    </row>
    <row r="546" spans="4:6" x14ac:dyDescent="0.25">
      <c r="D546" s="19">
        <v>43252</v>
      </c>
      <c r="E546" s="18">
        <v>2466</v>
      </c>
      <c r="F546" t="s">
        <v>61</v>
      </c>
    </row>
    <row r="547" spans="4:6" x14ac:dyDescent="0.25">
      <c r="D547" s="19">
        <v>43221</v>
      </c>
      <c r="E547" s="18">
        <v>2429</v>
      </c>
      <c r="F547" t="s">
        <v>61</v>
      </c>
    </row>
    <row r="548" spans="4:6" x14ac:dyDescent="0.25">
      <c r="D548" s="19">
        <v>43191</v>
      </c>
      <c r="E548" s="18">
        <v>2392</v>
      </c>
      <c r="F548" t="s">
        <v>61</v>
      </c>
    </row>
    <row r="549" spans="4:6" x14ac:dyDescent="0.25">
      <c r="D549" s="19">
        <v>43160</v>
      </c>
      <c r="E549" s="18">
        <v>2355</v>
      </c>
      <c r="F549" t="s">
        <v>61</v>
      </c>
    </row>
    <row r="550" spans="4:6" x14ac:dyDescent="0.25">
      <c r="D550" s="19">
        <v>43132</v>
      </c>
      <c r="E550" s="18">
        <v>2311</v>
      </c>
      <c r="F550" t="s">
        <v>61</v>
      </c>
    </row>
    <row r="551" spans="4:6" x14ac:dyDescent="0.25">
      <c r="D551" s="19">
        <v>43101</v>
      </c>
      <c r="E551" s="18">
        <v>2266</v>
      </c>
      <c r="F551" t="s">
        <v>61</v>
      </c>
    </row>
    <row r="552" spans="4:6" x14ac:dyDescent="0.25">
      <c r="D552" s="19">
        <v>43070</v>
      </c>
      <c r="E552" s="18">
        <v>2245</v>
      </c>
      <c r="F552" t="s">
        <v>61</v>
      </c>
    </row>
    <row r="553" spans="4:6" x14ac:dyDescent="0.25">
      <c r="D553" s="19">
        <v>43040</v>
      </c>
      <c r="E553" s="18">
        <v>2224</v>
      </c>
      <c r="F553" t="s">
        <v>61</v>
      </c>
    </row>
    <row r="554" spans="4:6" x14ac:dyDescent="0.25">
      <c r="D554" s="19">
        <v>43009</v>
      </c>
      <c r="E554" s="18">
        <v>2198</v>
      </c>
      <c r="F554" t="s">
        <v>61</v>
      </c>
    </row>
    <row r="555" spans="4:6" x14ac:dyDescent="0.25">
      <c r="D555" s="19">
        <v>42979</v>
      </c>
      <c r="E555" s="18">
        <v>2179</v>
      </c>
      <c r="F555" t="s">
        <v>61</v>
      </c>
    </row>
    <row r="556" spans="4:6" x14ac:dyDescent="0.25">
      <c r="D556" s="19">
        <v>42948</v>
      </c>
      <c r="E556" s="18">
        <v>2177</v>
      </c>
      <c r="F556" t="s">
        <v>61</v>
      </c>
    </row>
    <row r="557" spans="4:6" x14ac:dyDescent="0.25">
      <c r="D557" s="19">
        <v>42917</v>
      </c>
      <c r="E557" s="18">
        <v>2180</v>
      </c>
      <c r="F557" t="s">
        <v>61</v>
      </c>
    </row>
    <row r="558" spans="4:6" x14ac:dyDescent="0.25">
      <c r="D558" s="19">
        <v>42887</v>
      </c>
      <c r="E558" s="18">
        <v>2155</v>
      </c>
      <c r="F558" t="s">
        <v>61</v>
      </c>
    </row>
    <row r="559" spans="4:6" x14ac:dyDescent="0.25">
      <c r="D559" s="19">
        <v>42856</v>
      </c>
      <c r="E559" s="18">
        <v>2145</v>
      </c>
      <c r="F559" t="s">
        <v>61</v>
      </c>
    </row>
    <row r="560" spans="4:6" x14ac:dyDescent="0.25">
      <c r="D560" s="19">
        <v>42826</v>
      </c>
      <c r="E560" s="18">
        <v>2146</v>
      </c>
      <c r="F560" t="s">
        <v>61</v>
      </c>
    </row>
    <row r="561" spans="4:6" x14ac:dyDescent="0.25">
      <c r="D561" s="19">
        <v>42795</v>
      </c>
      <c r="E561" s="18">
        <v>2154</v>
      </c>
      <c r="F561" t="s">
        <v>61</v>
      </c>
    </row>
    <row r="562" spans="4:6" x14ac:dyDescent="0.25">
      <c r="D562" s="19">
        <v>42767</v>
      </c>
      <c r="E562" s="18">
        <v>2152</v>
      </c>
      <c r="F562" t="s">
        <v>61</v>
      </c>
    </row>
    <row r="563" spans="4:6" x14ac:dyDescent="0.25">
      <c r="D563" s="19">
        <v>42736</v>
      </c>
      <c r="E563" s="18">
        <v>2152</v>
      </c>
      <c r="F563" t="s">
        <v>61</v>
      </c>
    </row>
    <row r="564" spans="4:6" x14ac:dyDescent="0.25">
      <c r="D564" s="19">
        <v>42705</v>
      </c>
      <c r="E564" s="18">
        <v>2160</v>
      </c>
      <c r="F564" t="s">
        <v>61</v>
      </c>
    </row>
    <row r="565" spans="4:6" x14ac:dyDescent="0.25">
      <c r="D565" s="19">
        <v>42675</v>
      </c>
      <c r="E565" s="18">
        <v>2152</v>
      </c>
      <c r="F565" t="s">
        <v>61</v>
      </c>
    </row>
    <row r="566" spans="4:6" x14ac:dyDescent="0.25">
      <c r="D566" s="19">
        <v>42644</v>
      </c>
      <c r="E566" s="18">
        <v>2139</v>
      </c>
      <c r="F566" t="s">
        <v>61</v>
      </c>
    </row>
    <row r="567" spans="4:6" x14ac:dyDescent="0.25">
      <c r="D567" s="19">
        <v>42614</v>
      </c>
      <c r="E567" s="18">
        <v>2135</v>
      </c>
      <c r="F567" t="s">
        <v>61</v>
      </c>
    </row>
    <row r="568" spans="4:6" x14ac:dyDescent="0.25">
      <c r="D568" s="19">
        <v>42583</v>
      </c>
      <c r="E568" s="18">
        <v>2147</v>
      </c>
      <c r="F568" t="s">
        <v>61</v>
      </c>
    </row>
    <row r="569" spans="4:6" x14ac:dyDescent="0.25">
      <c r="D569" s="19">
        <v>42552</v>
      </c>
      <c r="E569" s="18">
        <v>2146</v>
      </c>
      <c r="F569" t="s">
        <v>61</v>
      </c>
    </row>
    <row r="570" spans="4:6" x14ac:dyDescent="0.25">
      <c r="D570" s="19">
        <v>42522</v>
      </c>
      <c r="E570" s="18">
        <v>2149</v>
      </c>
      <c r="F570" t="s">
        <v>61</v>
      </c>
    </row>
    <row r="571" spans="4:6" x14ac:dyDescent="0.25">
      <c r="D571" s="19">
        <v>42491</v>
      </c>
      <c r="E571" s="18">
        <v>2143</v>
      </c>
      <c r="F571" t="s">
        <v>61</v>
      </c>
    </row>
    <row r="572" spans="4:6" x14ac:dyDescent="0.25">
      <c r="D572" s="19">
        <v>42461</v>
      </c>
      <c r="E572" s="18">
        <v>2141</v>
      </c>
      <c r="F572" t="s">
        <v>61</v>
      </c>
    </row>
    <row r="573" spans="4:6" x14ac:dyDescent="0.25">
      <c r="D573" s="19">
        <v>42430</v>
      </c>
      <c r="E573" s="18">
        <v>2148</v>
      </c>
      <c r="F573" t="s">
        <v>61</v>
      </c>
    </row>
    <row r="574" spans="4:6" x14ac:dyDescent="0.25">
      <c r="D574" s="19">
        <v>42401</v>
      </c>
      <c r="E574" s="18">
        <v>2144</v>
      </c>
      <c r="F574" t="s">
        <v>61</v>
      </c>
    </row>
    <row r="575" spans="4:6" x14ac:dyDescent="0.25">
      <c r="D575" s="19">
        <v>42370</v>
      </c>
      <c r="E575" s="18">
        <v>2147</v>
      </c>
      <c r="F575" t="s">
        <v>61</v>
      </c>
    </row>
    <row r="576" spans="4:6" x14ac:dyDescent="0.25">
      <c r="D576" s="19">
        <v>42339</v>
      </c>
      <c r="E576" s="18">
        <v>2153</v>
      </c>
      <c r="F576" t="s">
        <v>61</v>
      </c>
    </row>
    <row r="577" spans="4:6" x14ac:dyDescent="0.25">
      <c r="D577" s="19">
        <v>42309</v>
      </c>
      <c r="E577" s="18">
        <v>2165</v>
      </c>
      <c r="F577" t="s">
        <v>61</v>
      </c>
    </row>
    <row r="578" spans="4:6" x14ac:dyDescent="0.25">
      <c r="D578" s="19">
        <v>42278</v>
      </c>
      <c r="E578" s="18">
        <v>2159</v>
      </c>
      <c r="F578" t="s">
        <v>61</v>
      </c>
    </row>
    <row r="579" spans="4:6" x14ac:dyDescent="0.25">
      <c r="D579" s="19">
        <v>42248</v>
      </c>
      <c r="E579" s="18">
        <v>2148</v>
      </c>
      <c r="F579" t="s">
        <v>61</v>
      </c>
    </row>
    <row r="580" spans="4:6" x14ac:dyDescent="0.25">
      <c r="D580" s="19">
        <v>42217</v>
      </c>
      <c r="E580" s="18">
        <v>2146</v>
      </c>
      <c r="F580" t="s">
        <v>61</v>
      </c>
    </row>
    <row r="581" spans="4:6" x14ac:dyDescent="0.25">
      <c r="D581" s="19">
        <v>42186</v>
      </c>
      <c r="E581" s="18">
        <v>2169</v>
      </c>
      <c r="F581" t="s">
        <v>61</v>
      </c>
    </row>
    <row r="582" spans="4:6" x14ac:dyDescent="0.25">
      <c r="D582" s="19">
        <v>42156</v>
      </c>
      <c r="E582" s="18">
        <v>2178</v>
      </c>
      <c r="F582" t="s">
        <v>61</v>
      </c>
    </row>
    <row r="583" spans="4:6" x14ac:dyDescent="0.25">
      <c r="D583" s="19">
        <v>42125</v>
      </c>
      <c r="E583" s="18">
        <v>2172</v>
      </c>
      <c r="F583" t="s">
        <v>61</v>
      </c>
    </row>
    <row r="584" spans="4:6" x14ac:dyDescent="0.25">
      <c r="D584" s="19">
        <v>42095</v>
      </c>
      <c r="E584" s="18">
        <v>2168</v>
      </c>
      <c r="F584" t="s">
        <v>61</v>
      </c>
    </row>
    <row r="585" spans="4:6" x14ac:dyDescent="0.25">
      <c r="D585" s="19">
        <v>42064</v>
      </c>
      <c r="E585" s="18">
        <v>2164</v>
      </c>
      <c r="F585" t="s">
        <v>61</v>
      </c>
    </row>
    <row r="586" spans="4:6" x14ac:dyDescent="0.25">
      <c r="D586" s="19">
        <v>42036</v>
      </c>
      <c r="E586" s="18">
        <v>2161</v>
      </c>
      <c r="F586" t="s">
        <v>61</v>
      </c>
    </row>
    <row r="587" spans="4:6" x14ac:dyDescent="0.25">
      <c r="D587" s="19">
        <v>42005</v>
      </c>
      <c r="E587" s="18">
        <v>2169</v>
      </c>
      <c r="F587" t="s">
        <v>61</v>
      </c>
    </row>
    <row r="588" spans="4:6" x14ac:dyDescent="0.25">
      <c r="D588" s="19">
        <v>41974</v>
      </c>
      <c r="E588" s="18">
        <v>2167</v>
      </c>
      <c r="F588" t="s">
        <v>61</v>
      </c>
    </row>
    <row r="589" spans="4:6" x14ac:dyDescent="0.25">
      <c r="D589" s="19">
        <v>41944</v>
      </c>
      <c r="E589" s="18">
        <v>2174</v>
      </c>
      <c r="F589" t="s">
        <v>61</v>
      </c>
    </row>
    <row r="590" spans="4:6" x14ac:dyDescent="0.25">
      <c r="D590" s="19">
        <v>41913</v>
      </c>
      <c r="E590" s="18">
        <v>2159</v>
      </c>
      <c r="F590" t="s">
        <v>61</v>
      </c>
    </row>
    <row r="591" spans="4:6" x14ac:dyDescent="0.25">
      <c r="D591" s="19">
        <v>41883</v>
      </c>
      <c r="E591" s="18">
        <v>2153</v>
      </c>
      <c r="F591" t="s">
        <v>61</v>
      </c>
    </row>
    <row r="592" spans="4:6" x14ac:dyDescent="0.25">
      <c r="D592" s="19">
        <v>41852</v>
      </c>
      <c r="E592" s="18">
        <v>2160</v>
      </c>
      <c r="F592" t="s">
        <v>61</v>
      </c>
    </row>
    <row r="593" spans="4:6" x14ac:dyDescent="0.25">
      <c r="D593" s="19">
        <v>41821</v>
      </c>
      <c r="E593" s="18">
        <v>2181</v>
      </c>
      <c r="F593" t="s">
        <v>61</v>
      </c>
    </row>
    <row r="594" spans="4:6" x14ac:dyDescent="0.25">
      <c r="D594" s="19">
        <v>41791</v>
      </c>
      <c r="E594" s="18">
        <v>2181</v>
      </c>
      <c r="F594" t="s">
        <v>61</v>
      </c>
    </row>
    <row r="595" spans="4:6" x14ac:dyDescent="0.25">
      <c r="D595" s="19">
        <v>41760</v>
      </c>
      <c r="E595" s="18">
        <v>2174</v>
      </c>
      <c r="F595" t="s">
        <v>61</v>
      </c>
    </row>
    <row r="596" spans="4:6" x14ac:dyDescent="0.25">
      <c r="D596" s="19">
        <v>41730</v>
      </c>
      <c r="E596" s="18">
        <v>2177</v>
      </c>
      <c r="F596" t="s">
        <v>61</v>
      </c>
    </row>
    <row r="597" spans="4:6" x14ac:dyDescent="0.25">
      <c r="D597" s="19">
        <v>41699</v>
      </c>
      <c r="E597" s="18">
        <v>2201</v>
      </c>
      <c r="F597" t="s">
        <v>61</v>
      </c>
    </row>
    <row r="598" spans="4:6" x14ac:dyDescent="0.25">
      <c r="D598" s="19">
        <v>41671</v>
      </c>
      <c r="E598" s="18">
        <v>2222</v>
      </c>
      <c r="F598" t="s">
        <v>61</v>
      </c>
    </row>
    <row r="599" spans="4:6" x14ac:dyDescent="0.25">
      <c r="D599" s="19">
        <v>41640</v>
      </c>
      <c r="E599" s="18">
        <v>2230</v>
      </c>
      <c r="F599" t="s">
        <v>61</v>
      </c>
    </row>
    <row r="600" spans="4:6" x14ac:dyDescent="0.25">
      <c r="D600" s="19">
        <v>41609</v>
      </c>
      <c r="E600" s="18">
        <v>2229</v>
      </c>
      <c r="F600" t="s">
        <v>61</v>
      </c>
    </row>
    <row r="601" spans="4:6" x14ac:dyDescent="0.25">
      <c r="D601" s="19">
        <v>41579</v>
      </c>
      <c r="E601" s="18">
        <v>2228</v>
      </c>
      <c r="F601" t="s">
        <v>61</v>
      </c>
    </row>
    <row r="602" spans="4:6" x14ac:dyDescent="0.25">
      <c r="D602" s="19">
        <v>41548</v>
      </c>
      <c r="E602" s="18">
        <v>2228</v>
      </c>
      <c r="F602" t="s">
        <v>61</v>
      </c>
    </row>
    <row r="603" spans="4:6" x14ac:dyDescent="0.25">
      <c r="D603" s="19">
        <v>41518</v>
      </c>
      <c r="E603" s="18">
        <v>2231</v>
      </c>
      <c r="F603" t="s">
        <v>61</v>
      </c>
    </row>
    <row r="604" spans="4:6" x14ac:dyDescent="0.25">
      <c r="D604" s="19">
        <v>41487</v>
      </c>
      <c r="E604" s="18">
        <v>2233</v>
      </c>
      <c r="F604" t="s">
        <v>61</v>
      </c>
    </row>
    <row r="605" spans="4:6" x14ac:dyDescent="0.25">
      <c r="D605" s="19">
        <v>41456</v>
      </c>
      <c r="E605" s="18">
        <v>2243</v>
      </c>
      <c r="F605" t="s">
        <v>61</v>
      </c>
    </row>
    <row r="606" spans="4:6" x14ac:dyDescent="0.25">
      <c r="D606" s="19">
        <v>41426</v>
      </c>
      <c r="E606" s="18">
        <v>2248</v>
      </c>
      <c r="F606" t="s">
        <v>61</v>
      </c>
    </row>
    <row r="607" spans="4:6" x14ac:dyDescent="0.25">
      <c r="D607" s="19">
        <v>41395</v>
      </c>
      <c r="E607" s="18">
        <v>2274</v>
      </c>
      <c r="F607" t="s">
        <v>61</v>
      </c>
    </row>
    <row r="608" spans="4:6" x14ac:dyDescent="0.25">
      <c r="D608" s="19">
        <v>41365</v>
      </c>
      <c r="E608" s="18">
        <v>2281</v>
      </c>
      <c r="F608" t="s">
        <v>61</v>
      </c>
    </row>
    <row r="609" spans="4:6" x14ac:dyDescent="0.25">
      <c r="D609" s="19">
        <v>41334</v>
      </c>
      <c r="E609" s="18">
        <v>2282</v>
      </c>
      <c r="F609" t="s">
        <v>61</v>
      </c>
    </row>
    <row r="610" spans="4:6" x14ac:dyDescent="0.25">
      <c r="D610" s="19">
        <v>41306</v>
      </c>
      <c r="E610" s="18">
        <v>2277</v>
      </c>
      <c r="F610" t="s">
        <v>61</v>
      </c>
    </row>
    <row r="611" spans="4:6" x14ac:dyDescent="0.25">
      <c r="D611" s="19">
        <v>41275</v>
      </c>
      <c r="E611" s="18">
        <v>2287</v>
      </c>
      <c r="F611" t="s">
        <v>61</v>
      </c>
    </row>
    <row r="612" spans="4:6" x14ac:dyDescent="0.25">
      <c r="D612" s="19">
        <v>41244</v>
      </c>
      <c r="E612" s="18">
        <v>2313</v>
      </c>
      <c r="F612" t="s">
        <v>61</v>
      </c>
    </row>
    <row r="613" spans="4:6" x14ac:dyDescent="0.25">
      <c r="D613" s="19">
        <v>41214</v>
      </c>
      <c r="E613" s="18">
        <v>2333</v>
      </c>
      <c r="F613" t="s">
        <v>61</v>
      </c>
    </row>
    <row r="614" spans="4:6" x14ac:dyDescent="0.25">
      <c r="D614" s="19">
        <v>41183</v>
      </c>
      <c r="E614" s="18">
        <v>2348</v>
      </c>
      <c r="F614" t="s">
        <v>61</v>
      </c>
    </row>
    <row r="615" spans="4:6" x14ac:dyDescent="0.25">
      <c r="D615" s="19">
        <v>41153</v>
      </c>
      <c r="E615" s="18">
        <v>2356</v>
      </c>
      <c r="F615" t="s">
        <v>61</v>
      </c>
    </row>
    <row r="616" spans="4:6" x14ac:dyDescent="0.25">
      <c r="D616" s="19">
        <v>41122</v>
      </c>
      <c r="E616" s="18">
        <v>2389</v>
      </c>
      <c r="F616" t="s">
        <v>61</v>
      </c>
    </row>
    <row r="617" spans="4:6" x14ac:dyDescent="0.25">
      <c r="D617" s="19">
        <v>41091</v>
      </c>
      <c r="E617" s="18">
        <v>2420</v>
      </c>
      <c r="F617" t="s">
        <v>61</v>
      </c>
    </row>
    <row r="618" spans="4:6" x14ac:dyDescent="0.25">
      <c r="D618" s="19">
        <v>41061</v>
      </c>
      <c r="E618" s="18">
        <v>2446</v>
      </c>
      <c r="F618" t="s">
        <v>61</v>
      </c>
    </row>
    <row r="619" spans="4:6" x14ac:dyDescent="0.25">
      <c r="D619" s="19">
        <v>41030</v>
      </c>
      <c r="E619" s="18">
        <v>2466</v>
      </c>
      <c r="F619" t="s">
        <v>61</v>
      </c>
    </row>
    <row r="620" spans="4:6" x14ac:dyDescent="0.25">
      <c r="D620" s="19">
        <v>41000</v>
      </c>
      <c r="E620" s="18">
        <v>2480</v>
      </c>
      <c r="F620" t="s">
        <v>61</v>
      </c>
    </row>
    <row r="621" spans="4:6" x14ac:dyDescent="0.25">
      <c r="D621" s="19">
        <v>40969</v>
      </c>
      <c r="E621" s="18">
        <v>2509</v>
      </c>
      <c r="F621" t="s">
        <v>61</v>
      </c>
    </row>
    <row r="622" spans="4:6" x14ac:dyDescent="0.25">
      <c r="D622" s="19">
        <v>40940</v>
      </c>
      <c r="E622" s="18">
        <v>2512</v>
      </c>
      <c r="F622" t="s">
        <v>61</v>
      </c>
    </row>
    <row r="623" spans="4:6" x14ac:dyDescent="0.25">
      <c r="D623" s="19">
        <v>40909</v>
      </c>
      <c r="E623" s="18">
        <v>2533</v>
      </c>
      <c r="F623" t="s">
        <v>61</v>
      </c>
    </row>
    <row r="624" spans="4:6" x14ac:dyDescent="0.25">
      <c r="D624" s="19">
        <v>40878</v>
      </c>
      <c r="E624" s="18">
        <v>2546</v>
      </c>
      <c r="F624" t="s">
        <v>61</v>
      </c>
    </row>
    <row r="625" spans="4:6" x14ac:dyDescent="0.25">
      <c r="D625" s="19">
        <v>40848</v>
      </c>
      <c r="E625" s="18">
        <v>2569</v>
      </c>
      <c r="F625" t="s">
        <v>61</v>
      </c>
    </row>
    <row r="626" spans="4:6" x14ac:dyDescent="0.25">
      <c r="D626" s="19">
        <v>40817</v>
      </c>
      <c r="E626" s="18">
        <v>2579</v>
      </c>
      <c r="F626" t="s">
        <v>61</v>
      </c>
    </row>
    <row r="627" spans="4:6" x14ac:dyDescent="0.25">
      <c r="D627" s="19">
        <v>40787</v>
      </c>
      <c r="E627" s="18">
        <v>2585</v>
      </c>
      <c r="F627" t="s">
        <v>61</v>
      </c>
    </row>
    <row r="628" spans="4:6" x14ac:dyDescent="0.25">
      <c r="D628" s="19">
        <v>40756</v>
      </c>
      <c r="E628" s="18">
        <v>2600</v>
      </c>
      <c r="F628" t="s">
        <v>61</v>
      </c>
    </row>
    <row r="629" spans="4:6" x14ac:dyDescent="0.25">
      <c r="D629" s="19">
        <v>40725</v>
      </c>
      <c r="E629" s="18">
        <v>2624</v>
      </c>
      <c r="F629" t="s">
        <v>61</v>
      </c>
    </row>
    <row r="630" spans="4:6" x14ac:dyDescent="0.25">
      <c r="D630" s="19">
        <v>40695</v>
      </c>
      <c r="E630" s="18">
        <v>2642</v>
      </c>
      <c r="F630" t="s">
        <v>61</v>
      </c>
    </row>
    <row r="631" spans="4:6" x14ac:dyDescent="0.25">
      <c r="D631" s="19">
        <v>40664</v>
      </c>
      <c r="E631" s="18">
        <v>2642</v>
      </c>
      <c r="F631" t="s">
        <v>61</v>
      </c>
    </row>
    <row r="632" spans="4:6" x14ac:dyDescent="0.25">
      <c r="D632" s="19">
        <v>40634</v>
      </c>
      <c r="E632" s="18">
        <v>2640</v>
      </c>
      <c r="F632" t="s">
        <v>61</v>
      </c>
    </row>
    <row r="633" spans="4:6" x14ac:dyDescent="0.25">
      <c r="D633" s="19">
        <v>40603</v>
      </c>
      <c r="E633" s="18">
        <v>2646</v>
      </c>
      <c r="F633" t="s">
        <v>61</v>
      </c>
    </row>
    <row r="634" spans="4:6" x14ac:dyDescent="0.25">
      <c r="D634" s="19">
        <v>40575</v>
      </c>
      <c r="E634" s="18">
        <v>2624</v>
      </c>
      <c r="F634" t="s">
        <v>61</v>
      </c>
    </row>
    <row r="635" spans="4:6" x14ac:dyDescent="0.25">
      <c r="D635" s="19">
        <v>40544</v>
      </c>
      <c r="E635" s="18">
        <v>2630</v>
      </c>
      <c r="F635" t="s">
        <v>61</v>
      </c>
    </row>
    <row r="636" spans="4:6" x14ac:dyDescent="0.25">
      <c r="D636" s="19">
        <v>40513</v>
      </c>
      <c r="E636" s="18">
        <v>2628</v>
      </c>
      <c r="F636" t="s">
        <v>61</v>
      </c>
    </row>
    <row r="637" spans="4:6" x14ac:dyDescent="0.25">
      <c r="D637" s="19">
        <v>40483</v>
      </c>
      <c r="E637" s="18">
        <v>2633</v>
      </c>
      <c r="F637" t="s">
        <v>61</v>
      </c>
    </row>
    <row r="638" spans="4:6" x14ac:dyDescent="0.25">
      <c r="D638" s="19">
        <v>40452</v>
      </c>
      <c r="E638" s="18">
        <v>2603</v>
      </c>
      <c r="F638" t="s">
        <v>61</v>
      </c>
    </row>
    <row r="639" spans="4:6" x14ac:dyDescent="0.25">
      <c r="D639" s="19">
        <v>40422</v>
      </c>
      <c r="E639" s="18">
        <v>2578</v>
      </c>
      <c r="F639" t="s">
        <v>61</v>
      </c>
    </row>
    <row r="640" spans="4:6" x14ac:dyDescent="0.25">
      <c r="D640" s="19">
        <v>40391</v>
      </c>
      <c r="E640" s="18">
        <v>2575</v>
      </c>
      <c r="F640" t="s">
        <v>61</v>
      </c>
    </row>
    <row r="641" spans="4:6" x14ac:dyDescent="0.25">
      <c r="D641" s="19">
        <v>40360</v>
      </c>
      <c r="E641" s="18">
        <v>2588</v>
      </c>
      <c r="F641" t="s">
        <v>61</v>
      </c>
    </row>
    <row r="642" spans="4:6" x14ac:dyDescent="0.25">
      <c r="D642" s="19">
        <v>40330</v>
      </c>
      <c r="E642" s="18">
        <v>2587</v>
      </c>
      <c r="F642" t="s">
        <v>61</v>
      </c>
    </row>
    <row r="643" spans="4:6" x14ac:dyDescent="0.25">
      <c r="D643" s="19">
        <v>40299</v>
      </c>
      <c r="E643" s="18">
        <v>2594</v>
      </c>
      <c r="F643" t="s">
        <v>61</v>
      </c>
    </row>
    <row r="644" spans="4:6" x14ac:dyDescent="0.25">
      <c r="D644" s="19">
        <v>40269</v>
      </c>
      <c r="E644" s="18">
        <v>2590</v>
      </c>
      <c r="F644" t="s">
        <v>61</v>
      </c>
    </row>
    <row r="645" spans="4:6" x14ac:dyDescent="0.25">
      <c r="D645" s="19">
        <v>40238</v>
      </c>
      <c r="E645" s="18">
        <v>2578</v>
      </c>
      <c r="F645" t="s">
        <v>61</v>
      </c>
    </row>
    <row r="646" spans="4:6" x14ac:dyDescent="0.25">
      <c r="D646" s="19">
        <v>40210</v>
      </c>
      <c r="E646" s="18">
        <v>2561</v>
      </c>
      <c r="F646" t="s">
        <v>61</v>
      </c>
    </row>
    <row r="647" spans="4:6" x14ac:dyDescent="0.25">
      <c r="D647" s="19">
        <v>40179</v>
      </c>
      <c r="E647" s="18">
        <v>2553</v>
      </c>
      <c r="F647" t="s">
        <v>61</v>
      </c>
    </row>
    <row r="648" spans="4:6" x14ac:dyDescent="0.25">
      <c r="D648" s="19">
        <v>40148</v>
      </c>
      <c r="E648" s="18">
        <v>2557</v>
      </c>
      <c r="F648" t="s">
        <v>61</v>
      </c>
    </row>
    <row r="649" spans="4:6" x14ac:dyDescent="0.25">
      <c r="D649" s="19">
        <v>40118</v>
      </c>
      <c r="E649" s="18">
        <v>2575</v>
      </c>
      <c r="F649" t="s">
        <v>61</v>
      </c>
    </row>
    <row r="650" spans="4:6" x14ac:dyDescent="0.25">
      <c r="D650" s="19">
        <v>40087</v>
      </c>
      <c r="E650" s="18">
        <v>2569</v>
      </c>
      <c r="F650" t="s">
        <v>61</v>
      </c>
    </row>
    <row r="651" spans="4:6" x14ac:dyDescent="0.25">
      <c r="D651" s="19">
        <v>40057</v>
      </c>
      <c r="E651" s="18">
        <v>2565</v>
      </c>
      <c r="F651" t="s">
        <v>61</v>
      </c>
    </row>
    <row r="652" spans="4:6" x14ac:dyDescent="0.25">
      <c r="D652" s="19">
        <v>40026</v>
      </c>
      <c r="E652" s="18">
        <v>2569</v>
      </c>
      <c r="F652" t="s">
        <v>61</v>
      </c>
    </row>
    <row r="653" spans="4:6" x14ac:dyDescent="0.25">
      <c r="D653" s="19">
        <v>39995</v>
      </c>
      <c r="E653" s="18">
        <v>2596</v>
      </c>
      <c r="F653" t="s">
        <v>61</v>
      </c>
    </row>
    <row r="654" spans="4:6" x14ac:dyDescent="0.25">
      <c r="D654" s="19">
        <v>39965</v>
      </c>
      <c r="E654" s="18">
        <v>2611</v>
      </c>
      <c r="F654" t="s">
        <v>61</v>
      </c>
    </row>
    <row r="655" spans="4:6" x14ac:dyDescent="0.25">
      <c r="D655" s="19">
        <v>39934</v>
      </c>
      <c r="E655" s="18">
        <v>2624</v>
      </c>
      <c r="F655" t="s">
        <v>61</v>
      </c>
    </row>
    <row r="656" spans="4:6" x14ac:dyDescent="0.25">
      <c r="D656" s="19">
        <v>39904</v>
      </c>
      <c r="E656" s="18">
        <v>2642</v>
      </c>
      <c r="F656" t="s">
        <v>61</v>
      </c>
    </row>
    <row r="657" spans="4:6" x14ac:dyDescent="0.25">
      <c r="D657" s="19">
        <v>39873</v>
      </c>
      <c r="E657" s="18">
        <v>2647</v>
      </c>
      <c r="F657" t="s">
        <v>61</v>
      </c>
    </row>
    <row r="658" spans="4:6" x14ac:dyDescent="0.25">
      <c r="D658" s="19">
        <v>39845</v>
      </c>
      <c r="E658" s="18">
        <v>2628</v>
      </c>
      <c r="F658" t="s">
        <v>61</v>
      </c>
    </row>
    <row r="659" spans="4:6" x14ac:dyDescent="0.25">
      <c r="D659" s="19">
        <v>39814</v>
      </c>
      <c r="E659" s="18">
        <v>2624</v>
      </c>
      <c r="F659" t="s">
        <v>61</v>
      </c>
    </row>
    <row r="660" spans="4:6" x14ac:dyDescent="0.25">
      <c r="D660" s="19">
        <v>39783</v>
      </c>
      <c r="E660" s="18">
        <v>2624</v>
      </c>
      <c r="F660" t="s">
        <v>61</v>
      </c>
    </row>
    <row r="661" spans="4:6" x14ac:dyDescent="0.25">
      <c r="D661" s="19">
        <v>39753</v>
      </c>
      <c r="E661" s="18">
        <v>2654</v>
      </c>
      <c r="F661" t="s">
        <v>61</v>
      </c>
    </row>
    <row r="662" spans="4:6" x14ac:dyDescent="0.25">
      <c r="D662" s="19">
        <v>39722</v>
      </c>
      <c r="E662" s="18">
        <v>2644</v>
      </c>
      <c r="F662" t="s">
        <v>61</v>
      </c>
    </row>
    <row r="663" spans="4:6" x14ac:dyDescent="0.25">
      <c r="D663" s="19">
        <v>39692</v>
      </c>
      <c r="E663" s="18">
        <v>2665</v>
      </c>
      <c r="F663" t="s">
        <v>61</v>
      </c>
    </row>
    <row r="664" spans="4:6" x14ac:dyDescent="0.25">
      <c r="D664" s="19">
        <v>39661</v>
      </c>
      <c r="E664" s="18">
        <v>2670</v>
      </c>
      <c r="F664" t="s">
        <v>61</v>
      </c>
    </row>
    <row r="665" spans="4:6" x14ac:dyDescent="0.25">
      <c r="D665" s="19">
        <v>39630</v>
      </c>
      <c r="E665" s="18">
        <v>2700</v>
      </c>
      <c r="F665" t="s">
        <v>61</v>
      </c>
    </row>
    <row r="666" spans="4:6" x14ac:dyDescent="0.25">
      <c r="D666" s="19">
        <v>39600</v>
      </c>
      <c r="E666" s="18">
        <v>2736</v>
      </c>
      <c r="F666" t="s">
        <v>61</v>
      </c>
    </row>
    <row r="667" spans="4:6" x14ac:dyDescent="0.25">
      <c r="D667" s="19">
        <v>39569</v>
      </c>
      <c r="E667" s="18">
        <v>2733</v>
      </c>
      <c r="F667" t="s">
        <v>61</v>
      </c>
    </row>
    <row r="668" spans="4:6" x14ac:dyDescent="0.25">
      <c r="D668" s="19">
        <v>39539</v>
      </c>
      <c r="E668" s="18">
        <v>2760</v>
      </c>
      <c r="F668" t="s">
        <v>61</v>
      </c>
    </row>
    <row r="669" spans="4:6" x14ac:dyDescent="0.25">
      <c r="D669" s="19">
        <v>39508</v>
      </c>
      <c r="E669" s="18">
        <v>2748</v>
      </c>
      <c r="F669" t="s">
        <v>61</v>
      </c>
    </row>
    <row r="670" spans="4:6" x14ac:dyDescent="0.25">
      <c r="D670" s="19">
        <v>39479</v>
      </c>
      <c r="E670" s="18">
        <v>2739</v>
      </c>
      <c r="F670" t="s">
        <v>61</v>
      </c>
    </row>
    <row r="671" spans="4:6" x14ac:dyDescent="0.25">
      <c r="D671" s="19">
        <v>39448</v>
      </c>
      <c r="E671" s="18">
        <v>2734</v>
      </c>
      <c r="F671" t="s">
        <v>61</v>
      </c>
    </row>
    <row r="672" spans="4:6" x14ac:dyDescent="0.25">
      <c r="D672" s="19">
        <v>39417</v>
      </c>
      <c r="E672" s="18">
        <v>2764</v>
      </c>
      <c r="F672" t="s">
        <v>61</v>
      </c>
    </row>
    <row r="673" spans="4:6" x14ac:dyDescent="0.25">
      <c r="D673" s="19">
        <v>39387</v>
      </c>
      <c r="E673" s="18">
        <v>2805</v>
      </c>
      <c r="F673" t="s">
        <v>61</v>
      </c>
    </row>
    <row r="674" spans="4:6" x14ac:dyDescent="0.25">
      <c r="D674" s="19">
        <v>39356</v>
      </c>
      <c r="E674" s="18">
        <v>2778</v>
      </c>
      <c r="F674" t="s">
        <v>61</v>
      </c>
    </row>
    <row r="675" spans="4:6" x14ac:dyDescent="0.25">
      <c r="D675" s="19">
        <v>39326</v>
      </c>
      <c r="E675" s="18">
        <v>2753</v>
      </c>
      <c r="F675" t="s">
        <v>61</v>
      </c>
    </row>
    <row r="676" spans="4:6" x14ac:dyDescent="0.25">
      <c r="D676" s="19">
        <v>39295</v>
      </c>
      <c r="E676" s="18">
        <v>2759</v>
      </c>
      <c r="F676" t="s">
        <v>61</v>
      </c>
    </row>
    <row r="677" spans="4:6" x14ac:dyDescent="0.25">
      <c r="D677" s="19">
        <v>39264</v>
      </c>
      <c r="E677" s="18">
        <v>2794</v>
      </c>
      <c r="F677" t="s">
        <v>61</v>
      </c>
    </row>
    <row r="678" spans="4:6" x14ac:dyDescent="0.25">
      <c r="D678" s="19">
        <v>39234</v>
      </c>
      <c r="E678" s="18">
        <v>2783</v>
      </c>
      <c r="F678" t="s">
        <v>61</v>
      </c>
    </row>
    <row r="679" spans="4:6" x14ac:dyDescent="0.25">
      <c r="D679" s="19">
        <v>39203</v>
      </c>
      <c r="E679" s="18">
        <v>2754</v>
      </c>
      <c r="F679" t="s">
        <v>61</v>
      </c>
    </row>
    <row r="680" spans="4:6" x14ac:dyDescent="0.25">
      <c r="D680" s="19">
        <v>39173</v>
      </c>
      <c r="E680" s="18">
        <v>2769</v>
      </c>
      <c r="F680" t="s">
        <v>61</v>
      </c>
    </row>
    <row r="681" spans="4:6" x14ac:dyDescent="0.25">
      <c r="D681" s="19">
        <v>39142</v>
      </c>
      <c r="E681" s="18">
        <v>2776</v>
      </c>
      <c r="F681" t="s">
        <v>61</v>
      </c>
    </row>
    <row r="682" spans="4:6" x14ac:dyDescent="0.25">
      <c r="D682" s="19">
        <v>39114</v>
      </c>
      <c r="E682" s="18">
        <v>2729</v>
      </c>
      <c r="F682" t="s">
        <v>61</v>
      </c>
    </row>
    <row r="683" spans="4:6" x14ac:dyDescent="0.25">
      <c r="D683" s="19">
        <v>39083</v>
      </c>
      <c r="E683" s="18">
        <v>2731</v>
      </c>
      <c r="F683" t="s">
        <v>61</v>
      </c>
    </row>
    <row r="684" spans="4:6" x14ac:dyDescent="0.25">
      <c r="D684" s="19">
        <v>39052</v>
      </c>
      <c r="E684" s="18">
        <v>2702</v>
      </c>
      <c r="F684" t="s">
        <v>61</v>
      </c>
    </row>
    <row r="685" spans="4:6" x14ac:dyDescent="0.25">
      <c r="D685" s="19">
        <v>39022</v>
      </c>
      <c r="E685" s="18">
        <v>2736</v>
      </c>
      <c r="F685" t="s">
        <v>61</v>
      </c>
    </row>
    <row r="686" spans="4:6" x14ac:dyDescent="0.25">
      <c r="D686" s="19">
        <v>38991</v>
      </c>
      <c r="E686" s="18">
        <v>2625</v>
      </c>
      <c r="F686" t="s">
        <v>61</v>
      </c>
    </row>
    <row r="687" spans="4:6" x14ac:dyDescent="0.25">
      <c r="D687" s="19">
        <v>38961</v>
      </c>
      <c r="E687" s="18">
        <v>2666</v>
      </c>
      <c r="F687" t="s">
        <v>61</v>
      </c>
    </row>
    <row r="688" spans="4:6" x14ac:dyDescent="0.25">
      <c r="D688" s="19">
        <v>38930</v>
      </c>
      <c r="E688" s="18">
        <v>2591</v>
      </c>
      <c r="F688" t="s">
        <v>61</v>
      </c>
    </row>
    <row r="689" spans="4:6" x14ac:dyDescent="0.25">
      <c r="D689" s="19">
        <v>38899</v>
      </c>
      <c r="E689" s="18">
        <v>2610</v>
      </c>
      <c r="F689" t="s">
        <v>61</v>
      </c>
    </row>
    <row r="690" spans="4:6" x14ac:dyDescent="0.25">
      <c r="D690" s="19">
        <v>38869</v>
      </c>
      <c r="E690" s="18">
        <v>2634</v>
      </c>
      <c r="F690" t="s">
        <v>61</v>
      </c>
    </row>
    <row r="691" spans="4:6" x14ac:dyDescent="0.25">
      <c r="D691" s="19">
        <v>38838</v>
      </c>
      <c r="E691" s="18">
        <v>2596</v>
      </c>
      <c r="F691" t="s">
        <v>61</v>
      </c>
    </row>
    <row r="692" spans="4:6" x14ac:dyDescent="0.25">
      <c r="D692" s="19">
        <v>38808</v>
      </c>
      <c r="E692" s="18">
        <v>2547</v>
      </c>
      <c r="F692" t="s">
        <v>61</v>
      </c>
    </row>
    <row r="693" spans="4:6" x14ac:dyDescent="0.25">
      <c r="D693" s="19">
        <v>38777</v>
      </c>
      <c r="E693" s="18">
        <v>2614</v>
      </c>
      <c r="F693" t="s">
        <v>61</v>
      </c>
    </row>
    <row r="694" spans="4:6" x14ac:dyDescent="0.25">
      <c r="D694" s="19">
        <v>38749</v>
      </c>
      <c r="E694" s="18">
        <v>2765</v>
      </c>
      <c r="F694" t="s">
        <v>61</v>
      </c>
    </row>
    <row r="695" spans="4:6" x14ac:dyDescent="0.25">
      <c r="D695" s="19">
        <v>38718</v>
      </c>
      <c r="E695" s="18">
        <v>2682</v>
      </c>
      <c r="F69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8160-EE4F-40B9-84EA-92FAB5A2D1E5}">
  <dimension ref="A3:R17"/>
  <sheetViews>
    <sheetView workbookViewId="0">
      <selection activeCell="G29" sqref="G29"/>
    </sheetView>
  </sheetViews>
  <sheetFormatPr baseColWidth="10" defaultRowHeight="15" x14ac:dyDescent="0.25"/>
  <cols>
    <col min="1" max="1" width="18.7109375" bestFit="1" customWidth="1"/>
    <col min="2" max="2" width="22.85546875" bestFit="1" customWidth="1"/>
    <col min="3" max="3" width="12.5703125" bestFit="1" customWidth="1"/>
    <col min="4" max="4" width="7.5703125" bestFit="1" customWidth="1"/>
    <col min="5" max="5" width="12.5703125" bestFit="1" customWidth="1"/>
    <col min="6" max="6" width="7.42578125" bestFit="1" customWidth="1"/>
    <col min="7" max="7" width="6.5703125" bestFit="1" customWidth="1"/>
    <col min="8" max="8" width="6" bestFit="1" customWidth="1"/>
    <col min="9" max="9" width="18.7109375" bestFit="1" customWidth="1"/>
    <col min="10" max="10" width="22.85546875" bestFit="1" customWidth="1"/>
    <col min="11" max="11" width="12.5703125" bestFit="1" customWidth="1"/>
    <col min="12" max="12" width="7.5703125" bestFit="1" customWidth="1"/>
    <col min="13" max="13" width="12.5703125" bestFit="1" customWidth="1"/>
    <col min="14" max="14" width="7.140625" bestFit="1" customWidth="1"/>
    <col min="15" max="15" width="6.7109375" bestFit="1" customWidth="1"/>
    <col min="16" max="16" width="7.140625" bestFit="1" customWidth="1"/>
    <col min="17" max="17" width="6.5703125" bestFit="1" customWidth="1"/>
    <col min="18" max="18" width="8" bestFit="1" customWidth="1"/>
    <col min="19" max="19" width="6.5703125" bestFit="1" customWidth="1"/>
    <col min="20" max="20" width="6" bestFit="1" customWidth="1"/>
    <col min="21" max="21" width="6.85546875" bestFit="1" customWidth="1"/>
    <col min="22" max="22" width="7" bestFit="1" customWidth="1"/>
    <col min="23" max="23" width="6.5703125" bestFit="1" customWidth="1"/>
    <col min="24" max="24" width="7" bestFit="1" customWidth="1"/>
    <col min="25" max="25" width="6.42578125" bestFit="1" customWidth="1"/>
    <col min="26" max="26" width="7.140625" bestFit="1" customWidth="1"/>
    <col min="27" max="27" width="6.7109375" bestFit="1" customWidth="1"/>
    <col min="28" max="28" width="7.140625" bestFit="1" customWidth="1"/>
    <col min="29" max="29" width="6.5703125" bestFit="1" customWidth="1"/>
    <col min="30" max="30" width="7.42578125" bestFit="1" customWidth="1"/>
    <col min="31" max="31" width="6.5703125" bestFit="1" customWidth="1"/>
    <col min="32" max="32" width="6" bestFit="1" customWidth="1"/>
    <col min="33" max="33" width="6.85546875" bestFit="1" customWidth="1"/>
    <col min="34" max="34" width="7" bestFit="1" customWidth="1"/>
    <col min="35" max="35" width="6.5703125" bestFit="1" customWidth="1"/>
    <col min="36" max="36" width="7" bestFit="1" customWidth="1"/>
    <col min="37" max="37" width="6.42578125" bestFit="1" customWidth="1"/>
    <col min="38" max="38" width="7.140625" bestFit="1" customWidth="1"/>
    <col min="39" max="39" width="6.7109375" bestFit="1" customWidth="1"/>
    <col min="40" max="40" width="7.140625" bestFit="1" customWidth="1"/>
    <col min="41" max="41" width="6.5703125" bestFit="1" customWidth="1"/>
    <col min="42" max="42" width="7.42578125" bestFit="1" customWidth="1"/>
    <col min="43" max="43" width="6.5703125" bestFit="1" customWidth="1"/>
    <col min="44" max="44" width="6" bestFit="1" customWidth="1"/>
    <col min="45" max="45" width="6.85546875" bestFit="1" customWidth="1"/>
    <col min="46" max="46" width="7" bestFit="1" customWidth="1"/>
    <col min="47" max="47" width="6.5703125" bestFit="1" customWidth="1"/>
    <col min="48" max="48" width="7" bestFit="1" customWidth="1"/>
    <col min="49" max="49" width="6.42578125" bestFit="1" customWidth="1"/>
    <col min="50" max="50" width="7.140625" bestFit="1" customWidth="1"/>
    <col min="51" max="51" width="6.7109375" bestFit="1" customWidth="1"/>
    <col min="52" max="52" width="7.140625" bestFit="1" customWidth="1"/>
    <col min="53" max="53" width="6.5703125" bestFit="1" customWidth="1"/>
    <col min="54" max="54" width="7.42578125" bestFit="1" customWidth="1"/>
    <col min="55" max="55" width="6.5703125" bestFit="1" customWidth="1"/>
    <col min="56" max="56" width="6" bestFit="1" customWidth="1"/>
    <col min="57" max="57" width="6.85546875" bestFit="1" customWidth="1"/>
    <col min="58" max="58" width="7" bestFit="1" customWidth="1"/>
    <col min="59" max="59" width="6.5703125" bestFit="1" customWidth="1"/>
    <col min="60" max="60" width="7" bestFit="1" customWidth="1"/>
    <col min="61" max="61" width="6.42578125" bestFit="1" customWidth="1"/>
    <col min="62" max="62" width="7.140625" bestFit="1" customWidth="1"/>
    <col min="63" max="63" width="6.7109375" bestFit="1" customWidth="1"/>
    <col min="64" max="64" width="7.140625" bestFit="1" customWidth="1"/>
    <col min="65" max="65" width="6.5703125" bestFit="1" customWidth="1"/>
    <col min="66" max="66" width="7.42578125" bestFit="1" customWidth="1"/>
    <col min="67" max="67" width="6.5703125" bestFit="1" customWidth="1"/>
    <col min="68" max="68" width="6" bestFit="1" customWidth="1"/>
    <col min="69" max="69" width="6.85546875" bestFit="1" customWidth="1"/>
    <col min="70" max="70" width="7" bestFit="1" customWidth="1"/>
    <col min="71" max="71" width="6.5703125" bestFit="1" customWidth="1"/>
    <col min="72" max="72" width="7" bestFit="1" customWidth="1"/>
    <col min="73" max="73" width="6.42578125" bestFit="1" customWidth="1"/>
    <col min="74" max="74" width="7.140625" bestFit="1" customWidth="1"/>
    <col min="75" max="75" width="6.7109375" bestFit="1" customWidth="1"/>
    <col min="76" max="76" width="7.140625" bestFit="1" customWidth="1"/>
    <col min="77" max="77" width="6.5703125" bestFit="1" customWidth="1"/>
    <col min="78" max="78" width="7.42578125" bestFit="1" customWidth="1"/>
    <col min="79" max="79" width="6.5703125" bestFit="1" customWidth="1"/>
    <col min="80" max="80" width="6" bestFit="1" customWidth="1"/>
    <col min="81" max="81" width="6.85546875" bestFit="1" customWidth="1"/>
    <col min="82" max="82" width="7" bestFit="1" customWidth="1"/>
    <col min="83" max="83" width="6.5703125" bestFit="1" customWidth="1"/>
    <col min="84" max="84" width="7" bestFit="1" customWidth="1"/>
    <col min="85" max="85" width="6.42578125" bestFit="1" customWidth="1"/>
    <col min="86" max="86" width="7.140625" bestFit="1" customWidth="1"/>
    <col min="87" max="87" width="6.7109375" bestFit="1" customWidth="1"/>
    <col min="88" max="88" width="7.140625" bestFit="1" customWidth="1"/>
    <col min="89" max="89" width="6.5703125" bestFit="1" customWidth="1"/>
    <col min="90" max="90" width="7.42578125" bestFit="1" customWidth="1"/>
    <col min="91" max="91" width="6.5703125" bestFit="1" customWidth="1"/>
    <col min="92" max="92" width="6" bestFit="1" customWidth="1"/>
    <col min="93" max="93" width="6.85546875" bestFit="1" customWidth="1"/>
    <col min="94" max="94" width="7" bestFit="1" customWidth="1"/>
    <col min="95" max="95" width="6.5703125" bestFit="1" customWidth="1"/>
    <col min="96" max="96" width="7" bestFit="1" customWidth="1"/>
    <col min="97" max="97" width="6.42578125" bestFit="1" customWidth="1"/>
    <col min="98" max="98" width="7.140625" bestFit="1" customWidth="1"/>
    <col min="99" max="99" width="6.7109375" bestFit="1" customWidth="1"/>
    <col min="100" max="100" width="7.140625" bestFit="1" customWidth="1"/>
    <col min="101" max="101" width="6.5703125" bestFit="1" customWidth="1"/>
    <col min="102" max="102" width="7.42578125" bestFit="1" customWidth="1"/>
    <col min="103" max="103" width="6.5703125" bestFit="1" customWidth="1"/>
    <col min="104" max="104" width="6" bestFit="1" customWidth="1"/>
    <col min="105" max="105" width="6.85546875" bestFit="1" customWidth="1"/>
    <col min="106" max="106" width="7" bestFit="1" customWidth="1"/>
    <col min="107" max="107" width="6.5703125" bestFit="1" customWidth="1"/>
    <col min="108" max="108" width="7" bestFit="1" customWidth="1"/>
    <col min="109" max="109" width="6.42578125" bestFit="1" customWidth="1"/>
    <col min="110" max="110" width="7.140625" bestFit="1" customWidth="1"/>
    <col min="111" max="111" width="6.7109375" bestFit="1" customWidth="1"/>
    <col min="112" max="112" width="7.140625" bestFit="1" customWidth="1"/>
    <col min="113" max="113" width="6.5703125" bestFit="1" customWidth="1"/>
    <col min="114" max="114" width="7.42578125" bestFit="1" customWidth="1"/>
    <col min="115" max="115" width="6.5703125" bestFit="1" customWidth="1"/>
    <col min="116" max="116" width="6" bestFit="1" customWidth="1"/>
    <col min="117" max="117" width="6.85546875" bestFit="1" customWidth="1"/>
    <col min="118" max="118" width="7" bestFit="1" customWidth="1"/>
    <col min="119" max="119" width="6.5703125" bestFit="1" customWidth="1"/>
    <col min="120" max="120" width="7" bestFit="1" customWidth="1"/>
    <col min="121" max="121" width="6.42578125" bestFit="1" customWidth="1"/>
    <col min="122" max="122" width="7.140625" bestFit="1" customWidth="1"/>
    <col min="123" max="123" width="6.7109375" bestFit="1" customWidth="1"/>
    <col min="124" max="124" width="7.140625" bestFit="1" customWidth="1"/>
    <col min="125" max="125" width="6.5703125" bestFit="1" customWidth="1"/>
    <col min="126" max="126" width="7.42578125" bestFit="1" customWidth="1"/>
    <col min="127" max="127" width="6.5703125" bestFit="1" customWidth="1"/>
    <col min="128" max="128" width="6" bestFit="1" customWidth="1"/>
    <col min="129" max="129" width="6.85546875" bestFit="1" customWidth="1"/>
    <col min="130" max="130" width="7" bestFit="1" customWidth="1"/>
    <col min="131" max="131" width="6.5703125" bestFit="1" customWidth="1"/>
    <col min="132" max="132" width="7" bestFit="1" customWidth="1"/>
    <col min="133" max="133" width="6.42578125" bestFit="1" customWidth="1"/>
    <col min="134" max="134" width="7.140625" bestFit="1" customWidth="1"/>
    <col min="135" max="135" width="6.7109375" bestFit="1" customWidth="1"/>
    <col min="136" max="136" width="7.140625" bestFit="1" customWidth="1"/>
    <col min="137" max="137" width="6.5703125" bestFit="1" customWidth="1"/>
    <col min="138" max="138" width="7.42578125" bestFit="1" customWidth="1"/>
    <col min="139" max="139" width="6.5703125" bestFit="1" customWidth="1"/>
    <col min="140" max="140" width="6" bestFit="1" customWidth="1"/>
    <col min="141" max="141" width="6.85546875" bestFit="1" customWidth="1"/>
    <col min="142" max="142" width="7" bestFit="1" customWidth="1"/>
    <col min="143" max="143" width="6.5703125" bestFit="1" customWidth="1"/>
    <col min="144" max="144" width="7" bestFit="1" customWidth="1"/>
    <col min="145" max="145" width="6.42578125" bestFit="1" customWidth="1"/>
    <col min="146" max="146" width="7.140625" bestFit="1" customWidth="1"/>
    <col min="147" max="147" width="6.7109375" bestFit="1" customWidth="1"/>
    <col min="148" max="148" width="7.140625" bestFit="1" customWidth="1"/>
    <col min="149" max="149" width="6.5703125" bestFit="1" customWidth="1"/>
    <col min="150" max="150" width="7.42578125" bestFit="1" customWidth="1"/>
    <col min="151" max="151" width="6.5703125" bestFit="1" customWidth="1"/>
    <col min="152" max="152" width="6" bestFit="1" customWidth="1"/>
    <col min="153" max="153" width="6.85546875" bestFit="1" customWidth="1"/>
    <col min="154" max="154" width="7" bestFit="1" customWidth="1"/>
    <col min="155" max="155" width="6.5703125" bestFit="1" customWidth="1"/>
    <col min="156" max="156" width="7" bestFit="1" customWidth="1"/>
    <col min="157" max="157" width="6.42578125" bestFit="1" customWidth="1"/>
    <col min="158" max="158" width="7.140625" bestFit="1" customWidth="1"/>
    <col min="159" max="159" width="6.7109375" bestFit="1" customWidth="1"/>
    <col min="160" max="160" width="7.140625" bestFit="1" customWidth="1"/>
    <col min="161" max="161" width="6.5703125" bestFit="1" customWidth="1"/>
    <col min="162" max="162" width="7.42578125" bestFit="1" customWidth="1"/>
    <col min="163" max="163" width="6.5703125" bestFit="1" customWidth="1"/>
    <col min="164" max="164" width="6" bestFit="1" customWidth="1"/>
    <col min="165" max="165" width="6.85546875" bestFit="1" customWidth="1"/>
    <col min="166" max="166" width="7" bestFit="1" customWidth="1"/>
    <col min="167" max="167" width="6.5703125" bestFit="1" customWidth="1"/>
    <col min="168" max="168" width="7" bestFit="1" customWidth="1"/>
    <col min="169" max="169" width="6.42578125" bestFit="1" customWidth="1"/>
    <col min="170" max="170" width="7.140625" bestFit="1" customWidth="1"/>
    <col min="171" max="171" width="6.7109375" bestFit="1" customWidth="1"/>
    <col min="172" max="172" width="7.140625" bestFit="1" customWidth="1"/>
    <col min="173" max="173" width="6.5703125" bestFit="1" customWidth="1"/>
    <col min="174" max="174" width="7.42578125" bestFit="1" customWidth="1"/>
    <col min="175" max="175" width="6.5703125" bestFit="1" customWidth="1"/>
    <col min="176" max="176" width="6" bestFit="1" customWidth="1"/>
    <col min="177" max="177" width="6.85546875" bestFit="1" customWidth="1"/>
    <col min="178" max="178" width="7" bestFit="1" customWidth="1"/>
    <col min="179" max="179" width="6.5703125" bestFit="1" customWidth="1"/>
    <col min="180" max="180" width="7" bestFit="1" customWidth="1"/>
    <col min="181" max="181" width="6.42578125" bestFit="1" customWidth="1"/>
    <col min="182" max="182" width="7.140625" bestFit="1" customWidth="1"/>
    <col min="183" max="183" width="6.7109375" bestFit="1" customWidth="1"/>
    <col min="184" max="184" width="7.140625" bestFit="1" customWidth="1"/>
    <col min="185" max="185" width="6.5703125" bestFit="1" customWidth="1"/>
    <col min="186" max="186" width="7.42578125" bestFit="1" customWidth="1"/>
    <col min="187" max="187" width="6.5703125" bestFit="1" customWidth="1"/>
    <col min="188" max="188" width="6" bestFit="1" customWidth="1"/>
    <col min="189" max="189" width="6.85546875" bestFit="1" customWidth="1"/>
    <col min="190" max="190" width="7" bestFit="1" customWidth="1"/>
    <col min="191" max="191" width="6.5703125" bestFit="1" customWidth="1"/>
    <col min="192" max="192" width="7" bestFit="1" customWidth="1"/>
    <col min="193" max="193" width="6.42578125" bestFit="1" customWidth="1"/>
    <col min="194" max="194" width="7.140625" bestFit="1" customWidth="1"/>
    <col min="195" max="195" width="6.7109375" bestFit="1" customWidth="1"/>
    <col min="196" max="196" width="7.140625" bestFit="1" customWidth="1"/>
    <col min="197" max="197" width="6.5703125" bestFit="1" customWidth="1"/>
    <col min="198" max="198" width="7.42578125" bestFit="1" customWidth="1"/>
    <col min="199" max="199" width="6.5703125" bestFit="1" customWidth="1"/>
    <col min="200" max="200" width="6" bestFit="1" customWidth="1"/>
    <col min="201" max="201" width="6.85546875" bestFit="1" customWidth="1"/>
    <col min="202" max="202" width="7" bestFit="1" customWidth="1"/>
    <col min="203" max="203" width="6.5703125" bestFit="1" customWidth="1"/>
    <col min="204" max="204" width="7" bestFit="1" customWidth="1"/>
    <col min="205" max="205" width="6.42578125" bestFit="1" customWidth="1"/>
    <col min="206" max="206" width="7.140625" bestFit="1" customWidth="1"/>
    <col min="207" max="207" width="6.7109375" bestFit="1" customWidth="1"/>
    <col min="208" max="208" width="7.140625" bestFit="1" customWidth="1"/>
    <col min="209" max="209" width="6.5703125" bestFit="1" customWidth="1"/>
    <col min="210" max="210" width="7.42578125" bestFit="1" customWidth="1"/>
    <col min="211" max="211" width="6.5703125" bestFit="1" customWidth="1"/>
    <col min="212" max="212" width="6" bestFit="1" customWidth="1"/>
    <col min="213" max="213" width="6.85546875" bestFit="1" customWidth="1"/>
    <col min="214" max="214" width="7" bestFit="1" customWidth="1"/>
    <col min="215" max="215" width="6.5703125" bestFit="1" customWidth="1"/>
    <col min="216" max="216" width="7" bestFit="1" customWidth="1"/>
    <col min="217" max="217" width="6.42578125" bestFit="1" customWidth="1"/>
    <col min="218" max="218" width="7.140625" bestFit="1" customWidth="1"/>
    <col min="219" max="219" width="6.7109375" bestFit="1" customWidth="1"/>
    <col min="220" max="220" width="7.140625" bestFit="1" customWidth="1"/>
    <col min="221" max="221" width="6.5703125" bestFit="1" customWidth="1"/>
    <col min="222" max="222" width="7.42578125" bestFit="1" customWidth="1"/>
    <col min="223" max="223" width="6.5703125" bestFit="1" customWidth="1"/>
    <col min="224" max="224" width="6" bestFit="1" customWidth="1"/>
    <col min="225" max="225" width="6.85546875" bestFit="1" customWidth="1"/>
    <col min="226" max="226" width="7" bestFit="1" customWidth="1"/>
    <col min="227" max="227" width="6.5703125" bestFit="1" customWidth="1"/>
    <col min="228" max="228" width="7" bestFit="1" customWidth="1"/>
    <col min="229" max="229" width="6.42578125" bestFit="1" customWidth="1"/>
    <col min="230" max="230" width="7.140625" bestFit="1" customWidth="1"/>
    <col min="231" max="231" width="6.7109375" bestFit="1" customWidth="1"/>
    <col min="232" max="232" width="7.140625" bestFit="1" customWidth="1"/>
    <col min="233" max="233" width="6.5703125" bestFit="1" customWidth="1"/>
    <col min="234" max="234" width="7.42578125" bestFit="1" customWidth="1"/>
    <col min="235" max="236" width="6.5703125" bestFit="1" customWidth="1"/>
    <col min="237" max="237" width="6.85546875" bestFit="1" customWidth="1"/>
    <col min="238" max="238" width="7" bestFit="1" customWidth="1"/>
    <col min="239" max="239" width="12.5703125" bestFit="1" customWidth="1"/>
  </cols>
  <sheetData>
    <row r="3" spans="1:18" x14ac:dyDescent="0.25">
      <c r="A3" s="1" t="s">
        <v>134</v>
      </c>
      <c r="B3" s="1" t="s">
        <v>135</v>
      </c>
      <c r="Q3" t="s">
        <v>136</v>
      </c>
      <c r="R3">
        <f>GETPIVOTDATA("Precio",$A$3)</f>
        <v>1780.5</v>
      </c>
    </row>
    <row r="4" spans="1:18" x14ac:dyDescent="0.25">
      <c r="A4" s="1" t="s">
        <v>0</v>
      </c>
      <c r="B4" t="s">
        <v>8</v>
      </c>
      <c r="C4" t="s">
        <v>7</v>
      </c>
      <c r="I4" s="1" t="s">
        <v>134</v>
      </c>
      <c r="J4" s="1" t="s">
        <v>135</v>
      </c>
      <c r="Q4" t="s">
        <v>137</v>
      </c>
      <c r="R4">
        <f>GETPIVOTDATA("Precio",$I$4)</f>
        <v>2583.5555555555557</v>
      </c>
    </row>
    <row r="5" spans="1:18" x14ac:dyDescent="0.25">
      <c r="A5" s="17">
        <v>42005</v>
      </c>
      <c r="B5" s="18">
        <v>1787</v>
      </c>
      <c r="C5" s="18">
        <v>1787</v>
      </c>
      <c r="I5" s="1" t="s">
        <v>0</v>
      </c>
      <c r="J5" t="s">
        <v>8</v>
      </c>
      <c r="K5" t="s">
        <v>7</v>
      </c>
      <c r="Q5" t="s">
        <v>86</v>
      </c>
      <c r="R5" s="2">
        <f>(R4/R3)-1</f>
        <v>0.45102811320166003</v>
      </c>
    </row>
    <row r="6" spans="1:18" x14ac:dyDescent="0.25">
      <c r="A6" s="17">
        <v>42036</v>
      </c>
      <c r="B6" s="18">
        <v>1801</v>
      </c>
      <c r="C6" s="18">
        <v>1801</v>
      </c>
      <c r="I6" s="17">
        <v>45658</v>
      </c>
      <c r="J6" s="18">
        <v>2396</v>
      </c>
      <c r="K6" s="18">
        <v>2396</v>
      </c>
    </row>
    <row r="7" spans="1:18" x14ac:dyDescent="0.25">
      <c r="A7" s="17">
        <v>42064</v>
      </c>
      <c r="B7" s="18">
        <v>1805</v>
      </c>
      <c r="C7" s="18">
        <v>1805</v>
      </c>
      <c r="I7" s="17">
        <v>45689</v>
      </c>
      <c r="J7" s="18">
        <v>2494</v>
      </c>
      <c r="K7" s="18">
        <v>2494</v>
      </c>
    </row>
    <row r="8" spans="1:18" x14ac:dyDescent="0.25">
      <c r="A8" s="17">
        <v>42095</v>
      </c>
      <c r="B8" s="18">
        <v>1794</v>
      </c>
      <c r="C8" s="18">
        <v>1794</v>
      </c>
      <c r="I8" s="17">
        <v>45717</v>
      </c>
      <c r="J8" s="18">
        <v>2556</v>
      </c>
      <c r="K8" s="18">
        <v>2556</v>
      </c>
    </row>
    <row r="9" spans="1:18" x14ac:dyDescent="0.25">
      <c r="A9" s="17">
        <v>42125</v>
      </c>
      <c r="B9" s="18">
        <v>1789</v>
      </c>
      <c r="C9" s="18">
        <v>1789</v>
      </c>
      <c r="I9" s="17">
        <v>45748</v>
      </c>
      <c r="J9" s="18">
        <v>2611</v>
      </c>
      <c r="K9" s="18">
        <v>2611</v>
      </c>
    </row>
    <row r="10" spans="1:18" x14ac:dyDescent="0.25">
      <c r="A10" s="17">
        <v>42156</v>
      </c>
      <c r="B10" s="18">
        <v>1793</v>
      </c>
      <c r="C10" s="18">
        <v>1793</v>
      </c>
      <c r="I10" s="17">
        <v>45778</v>
      </c>
      <c r="J10" s="18">
        <v>2644</v>
      </c>
      <c r="K10" s="18">
        <v>2644</v>
      </c>
    </row>
    <row r="11" spans="1:18" x14ac:dyDescent="0.25">
      <c r="A11" s="17">
        <v>42186</v>
      </c>
      <c r="B11" s="18">
        <v>1785</v>
      </c>
      <c r="C11" s="18">
        <v>1785</v>
      </c>
      <c r="I11" s="17">
        <v>45809</v>
      </c>
      <c r="J11" s="18">
        <v>2684</v>
      </c>
      <c r="K11" s="18">
        <v>2684</v>
      </c>
    </row>
    <row r="12" spans="1:18" x14ac:dyDescent="0.25">
      <c r="A12" s="17">
        <v>42217</v>
      </c>
      <c r="B12" s="18">
        <v>1758</v>
      </c>
      <c r="C12" s="18">
        <v>1758</v>
      </c>
      <c r="I12" s="17">
        <v>45839</v>
      </c>
      <c r="J12" s="18">
        <v>2681</v>
      </c>
      <c r="K12" s="18">
        <v>2681</v>
      </c>
    </row>
    <row r="13" spans="1:18" x14ac:dyDescent="0.25">
      <c r="A13" s="17">
        <v>42248</v>
      </c>
      <c r="B13" s="18">
        <v>1743</v>
      </c>
      <c r="C13" s="18">
        <v>1743</v>
      </c>
      <c r="I13" s="17">
        <v>45870</v>
      </c>
      <c r="J13" s="18">
        <v>2623</v>
      </c>
      <c r="K13" s="18">
        <v>2623</v>
      </c>
    </row>
    <row r="14" spans="1:18" x14ac:dyDescent="0.25">
      <c r="A14" s="17">
        <v>42278</v>
      </c>
      <c r="B14" s="18">
        <v>1751</v>
      </c>
      <c r="C14" s="18">
        <v>1751</v>
      </c>
      <c r="I14" s="17">
        <v>45901</v>
      </c>
      <c r="J14" s="18">
        <v>2563</v>
      </c>
      <c r="K14" s="18">
        <v>2563</v>
      </c>
    </row>
    <row r="15" spans="1:18" x14ac:dyDescent="0.25">
      <c r="A15" s="17">
        <v>42309</v>
      </c>
      <c r="B15" s="18">
        <v>1781</v>
      </c>
      <c r="C15" s="18">
        <v>1781</v>
      </c>
      <c r="I15" s="17" t="s">
        <v>7</v>
      </c>
      <c r="J15" s="18">
        <v>2583.5555555555557</v>
      </c>
      <c r="K15" s="18">
        <v>2583.5555555555557</v>
      </c>
    </row>
    <row r="16" spans="1:18" x14ac:dyDescent="0.25">
      <c r="A16" s="17">
        <v>42339</v>
      </c>
      <c r="B16" s="18">
        <v>1779</v>
      </c>
      <c r="C16" s="18">
        <v>1779</v>
      </c>
    </row>
    <row r="17" spans="1:3" x14ac:dyDescent="0.25">
      <c r="A17" s="17" t="s">
        <v>7</v>
      </c>
      <c r="B17" s="18">
        <v>1780.5</v>
      </c>
      <c r="C17" s="18">
        <v>1780.5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2CA4-005F-45E5-B073-EFACD83ECD26}">
  <dimension ref="B2:M98"/>
  <sheetViews>
    <sheetView topLeftCell="A61" zoomScale="90" zoomScaleNormal="90" workbookViewId="0">
      <selection activeCell="M97" sqref="M97"/>
    </sheetView>
  </sheetViews>
  <sheetFormatPr baseColWidth="10" defaultRowHeight="15" x14ac:dyDescent="0.25"/>
  <cols>
    <col min="2" max="2" width="28.140625" bestFit="1" customWidth="1"/>
    <col min="3" max="3" width="21.42578125" bestFit="1" customWidth="1"/>
    <col min="4" max="4" width="14" bestFit="1" customWidth="1"/>
    <col min="5" max="5" width="12.5703125" bestFit="1" customWidth="1"/>
    <col min="6" max="6" width="16.85546875" bestFit="1" customWidth="1"/>
    <col min="8" max="8" width="25.7109375" bestFit="1" customWidth="1"/>
    <col min="9" max="9" width="21.42578125" bestFit="1" customWidth="1"/>
    <col min="10" max="10" width="16.42578125" bestFit="1" customWidth="1"/>
    <col min="11" max="11" width="12.5703125" bestFit="1" customWidth="1"/>
    <col min="12" max="12" width="16.85546875" bestFit="1" customWidth="1"/>
  </cols>
  <sheetData>
    <row r="2" spans="2:12" ht="15" customHeight="1" x14ac:dyDescent="0.25">
      <c r="C2" s="22"/>
      <c r="D2" s="22"/>
      <c r="E2" s="22"/>
      <c r="F2" s="22"/>
    </row>
    <row r="3" spans="2:12" ht="15" customHeight="1" x14ac:dyDescent="0.25">
      <c r="B3" s="36" t="s">
        <v>150</v>
      </c>
      <c r="C3" s="36"/>
      <c r="D3" s="36"/>
      <c r="E3" s="36"/>
      <c r="F3" s="36"/>
      <c r="H3" s="36" t="s">
        <v>149</v>
      </c>
      <c r="I3" s="36"/>
      <c r="J3" s="36"/>
      <c r="K3" s="36"/>
      <c r="L3" s="36"/>
    </row>
    <row r="4" spans="2:12" x14ac:dyDescent="0.25">
      <c r="B4" s="36"/>
      <c r="C4" s="36"/>
      <c r="D4" s="36"/>
      <c r="E4" s="36"/>
      <c r="F4" s="36"/>
      <c r="H4" s="36"/>
      <c r="I4" s="36"/>
      <c r="J4" s="36"/>
      <c r="K4" s="36"/>
      <c r="L4" s="36"/>
    </row>
    <row r="5" spans="2:12" x14ac:dyDescent="0.25">
      <c r="B5" s="7" t="s">
        <v>85</v>
      </c>
      <c r="C5" s="33" t="s">
        <v>145</v>
      </c>
      <c r="D5" s="5" t="s">
        <v>146</v>
      </c>
      <c r="E5" s="5" t="s">
        <v>147</v>
      </c>
      <c r="F5" s="5" t="s">
        <v>148</v>
      </c>
      <c r="H5" s="7" t="s">
        <v>85</v>
      </c>
      <c r="I5" s="33" t="s">
        <v>145</v>
      </c>
      <c r="J5" s="5" t="s">
        <v>146</v>
      </c>
      <c r="K5" s="5" t="s">
        <v>147</v>
      </c>
      <c r="L5" s="5" t="s">
        <v>148</v>
      </c>
    </row>
    <row r="6" spans="2:12" x14ac:dyDescent="0.25">
      <c r="B6" s="7" t="s">
        <v>45</v>
      </c>
      <c r="C6" s="13">
        <v>3.370407819346141E-4</v>
      </c>
      <c r="D6" s="31">
        <v>3</v>
      </c>
      <c r="E6" s="4">
        <v>19</v>
      </c>
      <c r="F6" s="13">
        <f>+D6/E6</f>
        <v>0.15789473684210525</v>
      </c>
      <c r="H6" s="7" t="s">
        <v>45</v>
      </c>
      <c r="I6" s="13">
        <v>1.3437248051599031E-4</v>
      </c>
      <c r="J6" s="31">
        <v>1</v>
      </c>
      <c r="K6" s="4">
        <v>1</v>
      </c>
      <c r="L6" s="13">
        <f>+J6/K6</f>
        <v>1</v>
      </c>
    </row>
    <row r="7" spans="2:12" x14ac:dyDescent="0.25">
      <c r="B7" s="7" t="s">
        <v>83</v>
      </c>
      <c r="C7" s="13">
        <v>3.370407819346141E-4</v>
      </c>
      <c r="D7" s="31">
        <v>3</v>
      </c>
      <c r="E7" s="4">
        <v>4</v>
      </c>
      <c r="F7" s="13">
        <f t="shared" ref="F7:F63" si="0">+D7/E7</f>
        <v>0.75</v>
      </c>
      <c r="H7" s="7" t="s">
        <v>52</v>
      </c>
      <c r="I7" s="13">
        <v>1.0077936038699274E-2</v>
      </c>
      <c r="J7" s="31">
        <v>75</v>
      </c>
      <c r="K7" s="4">
        <v>73</v>
      </c>
      <c r="L7" s="13">
        <f t="shared" ref="L7:L47" si="1">+J7/K7</f>
        <v>1.0273972602739727</v>
      </c>
    </row>
    <row r="8" spans="2:12" x14ac:dyDescent="0.25">
      <c r="B8" s="7" t="s">
        <v>52</v>
      </c>
      <c r="C8" s="13">
        <v>1.0560611167284574E-2</v>
      </c>
      <c r="D8" s="31">
        <v>94</v>
      </c>
      <c r="E8" s="4">
        <v>194</v>
      </c>
      <c r="F8" s="13">
        <f t="shared" si="0"/>
        <v>0.4845360824742268</v>
      </c>
      <c r="H8" s="7" t="s">
        <v>44</v>
      </c>
      <c r="I8" s="13">
        <v>8.0623488309594193E-4</v>
      </c>
      <c r="J8" s="31">
        <v>6</v>
      </c>
      <c r="K8" s="4">
        <v>6</v>
      </c>
      <c r="L8" s="13">
        <f t="shared" si="1"/>
        <v>1</v>
      </c>
    </row>
    <row r="9" spans="2:12" x14ac:dyDescent="0.25">
      <c r="B9" s="7" t="s">
        <v>44</v>
      </c>
      <c r="C9" s="13">
        <v>5.2803055836422872E-3</v>
      </c>
      <c r="D9" s="31">
        <v>47</v>
      </c>
      <c r="E9" s="4">
        <v>83</v>
      </c>
      <c r="F9" s="13">
        <f t="shared" si="0"/>
        <v>0.5662650602409639</v>
      </c>
      <c r="H9" s="7" t="s">
        <v>35</v>
      </c>
      <c r="I9" s="13">
        <v>1.3437248051599031E-4</v>
      </c>
      <c r="J9" s="31">
        <v>1</v>
      </c>
      <c r="K9" s="4">
        <v>1</v>
      </c>
      <c r="L9" s="13">
        <f t="shared" si="1"/>
        <v>1</v>
      </c>
    </row>
    <row r="10" spans="2:12" x14ac:dyDescent="0.25">
      <c r="B10" s="7" t="s">
        <v>35</v>
      </c>
      <c r="C10" s="13">
        <v>2.2469385462307607E-4</v>
      </c>
      <c r="D10" s="31">
        <v>2</v>
      </c>
      <c r="E10" s="4">
        <v>4</v>
      </c>
      <c r="F10" s="13">
        <f t="shared" si="0"/>
        <v>0.5</v>
      </c>
      <c r="H10" s="7" t="s">
        <v>58</v>
      </c>
      <c r="I10" s="13">
        <v>1.3437248051599031E-4</v>
      </c>
      <c r="J10" s="31">
        <v>1</v>
      </c>
      <c r="K10" s="4">
        <v>1</v>
      </c>
      <c r="L10" s="13">
        <f t="shared" si="1"/>
        <v>1</v>
      </c>
    </row>
    <row r="11" spans="2:12" x14ac:dyDescent="0.25">
      <c r="B11" s="7" t="s">
        <v>58</v>
      </c>
      <c r="C11" s="13">
        <v>5.6173463655769017E-4</v>
      </c>
      <c r="D11" s="31">
        <v>5</v>
      </c>
      <c r="E11" s="4">
        <v>30</v>
      </c>
      <c r="F11" s="13">
        <f t="shared" si="0"/>
        <v>0.16666666666666666</v>
      </c>
      <c r="H11" s="7" t="s">
        <v>28</v>
      </c>
      <c r="I11" s="13">
        <v>1.209352324643913E-3</v>
      </c>
      <c r="J11" s="31">
        <v>9</v>
      </c>
      <c r="K11" s="4">
        <v>19</v>
      </c>
      <c r="L11" s="13">
        <f t="shared" si="1"/>
        <v>0.47368421052631576</v>
      </c>
    </row>
    <row r="12" spans="2:12" x14ac:dyDescent="0.25">
      <c r="B12" s="7" t="s">
        <v>76</v>
      </c>
      <c r="C12" s="13">
        <v>4.4938770924615214E-4</v>
      </c>
      <c r="D12" s="31">
        <v>4</v>
      </c>
      <c r="E12" s="4">
        <v>11</v>
      </c>
      <c r="F12" s="13">
        <f t="shared" si="0"/>
        <v>0.36363636363636365</v>
      </c>
      <c r="H12" s="7" t="s">
        <v>34</v>
      </c>
      <c r="I12" s="13">
        <v>9.4060736361193233E-4</v>
      </c>
      <c r="J12" s="31">
        <v>7</v>
      </c>
      <c r="K12" s="4">
        <v>7</v>
      </c>
      <c r="L12" s="13">
        <f t="shared" si="1"/>
        <v>1</v>
      </c>
    </row>
    <row r="13" spans="2:12" x14ac:dyDescent="0.25">
      <c r="B13" s="7" t="s">
        <v>82</v>
      </c>
      <c r="C13" s="13">
        <v>1.1234692731153803E-4</v>
      </c>
      <c r="D13" s="31">
        <v>1</v>
      </c>
      <c r="E13" s="4">
        <v>2</v>
      </c>
      <c r="F13" s="13">
        <f t="shared" si="0"/>
        <v>0.5</v>
      </c>
      <c r="H13" s="7" t="s">
        <v>38</v>
      </c>
      <c r="I13" s="13">
        <v>1.3437248051599031E-4</v>
      </c>
      <c r="J13" s="31">
        <v>1</v>
      </c>
      <c r="K13" s="4">
        <v>1</v>
      </c>
      <c r="L13" s="13">
        <f t="shared" si="1"/>
        <v>1</v>
      </c>
    </row>
    <row r="14" spans="2:12" x14ac:dyDescent="0.25">
      <c r="B14" s="7" t="s">
        <v>28</v>
      </c>
      <c r="C14" s="13">
        <v>1.1684080440399956E-2</v>
      </c>
      <c r="D14" s="31">
        <v>104</v>
      </c>
      <c r="E14" s="4">
        <v>157</v>
      </c>
      <c r="F14" s="13">
        <f t="shared" si="0"/>
        <v>0.66242038216560506</v>
      </c>
      <c r="H14" s="7" t="s">
        <v>22</v>
      </c>
      <c r="I14" s="13">
        <v>4.29991937651169E-3</v>
      </c>
      <c r="J14" s="31">
        <v>32</v>
      </c>
      <c r="K14" s="4">
        <v>31</v>
      </c>
      <c r="L14" s="13">
        <f t="shared" si="1"/>
        <v>1.032258064516129</v>
      </c>
    </row>
    <row r="15" spans="2:12" x14ac:dyDescent="0.25">
      <c r="B15" s="7" t="s">
        <v>34</v>
      </c>
      <c r="C15" s="13">
        <v>2.2469385462307607E-4</v>
      </c>
      <c r="D15" s="31">
        <v>2</v>
      </c>
      <c r="E15" s="4">
        <v>2</v>
      </c>
      <c r="F15" s="13">
        <f t="shared" si="0"/>
        <v>1</v>
      </c>
      <c r="H15" s="7" t="s">
        <v>33</v>
      </c>
      <c r="I15" s="13">
        <v>4.7030368180596615E-3</v>
      </c>
      <c r="J15" s="31">
        <v>35</v>
      </c>
      <c r="K15" s="4">
        <v>35</v>
      </c>
      <c r="L15" s="13">
        <f t="shared" si="1"/>
        <v>1</v>
      </c>
    </row>
    <row r="16" spans="2:12" x14ac:dyDescent="0.25">
      <c r="B16" s="7" t="s">
        <v>38</v>
      </c>
      <c r="C16" s="13">
        <v>4.2691832378384453E-3</v>
      </c>
      <c r="D16" s="31">
        <v>38</v>
      </c>
      <c r="E16" s="4">
        <v>45</v>
      </c>
      <c r="F16" s="13">
        <f t="shared" si="0"/>
        <v>0.84444444444444444</v>
      </c>
      <c r="H16" s="7" t="s">
        <v>42</v>
      </c>
      <c r="I16" s="13">
        <v>5.3748992206396125E-4</v>
      </c>
      <c r="J16" s="31">
        <v>4</v>
      </c>
      <c r="K16" s="4">
        <v>1</v>
      </c>
      <c r="L16" s="13">
        <f t="shared" si="1"/>
        <v>4</v>
      </c>
    </row>
    <row r="17" spans="2:12" x14ac:dyDescent="0.25">
      <c r="B17" s="7" t="s">
        <v>22</v>
      </c>
      <c r="C17" s="13">
        <v>2.9771935737557577E-2</v>
      </c>
      <c r="D17" s="31">
        <v>265</v>
      </c>
      <c r="E17" s="4">
        <v>284</v>
      </c>
      <c r="F17" s="13">
        <f t="shared" si="0"/>
        <v>0.93309859154929575</v>
      </c>
      <c r="H17" s="7" t="s">
        <v>47</v>
      </c>
      <c r="I17" s="13">
        <v>4.0311744154797097E-4</v>
      </c>
      <c r="J17" s="31">
        <v>3</v>
      </c>
      <c r="K17" s="4">
        <v>2</v>
      </c>
      <c r="L17" s="13">
        <f t="shared" si="1"/>
        <v>1.5</v>
      </c>
    </row>
    <row r="18" spans="2:12" x14ac:dyDescent="0.25">
      <c r="B18" s="7" t="s">
        <v>33</v>
      </c>
      <c r="C18" s="13">
        <v>1.2133468149646108E-2</v>
      </c>
      <c r="D18" s="31">
        <v>108</v>
      </c>
      <c r="E18" s="4">
        <v>176</v>
      </c>
      <c r="F18" s="13">
        <f t="shared" si="0"/>
        <v>0.61363636363636365</v>
      </c>
      <c r="H18" s="7" t="s">
        <v>51</v>
      </c>
      <c r="I18" s="13">
        <v>2.6874496103198063E-4</v>
      </c>
      <c r="J18" s="31">
        <v>2</v>
      </c>
      <c r="K18" s="4">
        <v>2</v>
      </c>
      <c r="L18" s="13">
        <f t="shared" si="1"/>
        <v>1</v>
      </c>
    </row>
    <row r="19" spans="2:12" x14ac:dyDescent="0.25">
      <c r="B19" s="7" t="s">
        <v>42</v>
      </c>
      <c r="C19" s="13">
        <v>1.1234692731153803E-3</v>
      </c>
      <c r="D19" s="31">
        <v>10</v>
      </c>
      <c r="E19" s="4">
        <v>19</v>
      </c>
      <c r="F19" s="13">
        <f t="shared" si="0"/>
        <v>0.52631578947368418</v>
      </c>
      <c r="H19" s="7" t="s">
        <v>39</v>
      </c>
      <c r="I19" s="13">
        <v>5.3748992206396125E-4</v>
      </c>
      <c r="J19" s="31">
        <v>4</v>
      </c>
      <c r="K19" s="4">
        <v>4</v>
      </c>
      <c r="L19" s="13">
        <f t="shared" si="1"/>
        <v>1</v>
      </c>
    </row>
    <row r="20" spans="2:12" x14ac:dyDescent="0.25">
      <c r="B20" s="7" t="s">
        <v>75</v>
      </c>
      <c r="C20" s="13">
        <v>1.2358162004269184E-3</v>
      </c>
      <c r="D20" s="31">
        <v>11</v>
      </c>
      <c r="E20" s="4">
        <v>21</v>
      </c>
      <c r="F20" s="13">
        <f t="shared" si="0"/>
        <v>0.52380952380952384</v>
      </c>
      <c r="H20" s="7" t="s">
        <v>31</v>
      </c>
      <c r="I20" s="13">
        <v>2.6874496103198063E-4</v>
      </c>
      <c r="J20" s="31">
        <v>2</v>
      </c>
      <c r="K20" s="4">
        <v>2</v>
      </c>
      <c r="L20" s="13">
        <f t="shared" si="1"/>
        <v>1</v>
      </c>
    </row>
    <row r="21" spans="2:12" x14ac:dyDescent="0.25">
      <c r="B21" s="7" t="s">
        <v>78</v>
      </c>
      <c r="C21" s="13">
        <v>3.370407819346141E-4</v>
      </c>
      <c r="D21" s="31">
        <v>3</v>
      </c>
      <c r="E21" s="4">
        <v>5</v>
      </c>
      <c r="F21" s="13">
        <f t="shared" si="0"/>
        <v>0.6</v>
      </c>
      <c r="H21" s="7" t="s">
        <v>43</v>
      </c>
      <c r="I21" s="13">
        <v>1.3437248051599031E-4</v>
      </c>
      <c r="J21" s="31">
        <v>1</v>
      </c>
      <c r="K21" s="4">
        <v>2</v>
      </c>
      <c r="L21" s="13">
        <f t="shared" si="1"/>
        <v>0.5</v>
      </c>
    </row>
    <row r="22" spans="2:12" x14ac:dyDescent="0.25">
      <c r="B22" s="7" t="s">
        <v>47</v>
      </c>
      <c r="C22" s="13">
        <v>1.4605100550499944E-3</v>
      </c>
      <c r="D22" s="31">
        <v>13</v>
      </c>
      <c r="E22" s="4">
        <v>71</v>
      </c>
      <c r="F22" s="13">
        <f t="shared" si="0"/>
        <v>0.18309859154929578</v>
      </c>
      <c r="H22" s="7" t="s">
        <v>56</v>
      </c>
      <c r="I22" s="13">
        <v>4.0311744154797097E-4</v>
      </c>
      <c r="J22" s="31">
        <v>3</v>
      </c>
      <c r="K22" s="4">
        <v>1</v>
      </c>
      <c r="L22" s="13">
        <f t="shared" si="1"/>
        <v>3</v>
      </c>
    </row>
    <row r="23" spans="2:12" x14ac:dyDescent="0.25">
      <c r="B23" s="7" t="s">
        <v>51</v>
      </c>
      <c r="C23" s="13">
        <v>2.2469385462307607E-4</v>
      </c>
      <c r="D23" s="31">
        <v>2</v>
      </c>
      <c r="E23" s="4">
        <v>11</v>
      </c>
      <c r="F23" s="13">
        <f t="shared" si="0"/>
        <v>0.18181818181818182</v>
      </c>
      <c r="H23" s="7" t="s">
        <v>27</v>
      </c>
      <c r="I23" s="13">
        <v>3.1174415479709755E-2</v>
      </c>
      <c r="J23" s="31">
        <v>232</v>
      </c>
      <c r="K23" s="4">
        <v>230</v>
      </c>
      <c r="L23" s="13">
        <f t="shared" si="1"/>
        <v>1.008695652173913</v>
      </c>
    </row>
    <row r="24" spans="2:12" x14ac:dyDescent="0.25">
      <c r="B24" s="7" t="s">
        <v>39</v>
      </c>
      <c r="C24" s="13">
        <v>1.9098977642961466E-3</v>
      </c>
      <c r="D24" s="31">
        <v>17</v>
      </c>
      <c r="E24" s="4">
        <v>39</v>
      </c>
      <c r="F24" s="13">
        <f t="shared" si="0"/>
        <v>0.4358974358974359</v>
      </c>
      <c r="H24" s="7" t="s">
        <v>63</v>
      </c>
      <c r="I24" s="13">
        <v>1.3437248051599033E-2</v>
      </c>
      <c r="J24" s="31">
        <v>100</v>
      </c>
      <c r="K24" s="4">
        <v>96</v>
      </c>
      <c r="L24" s="13">
        <f t="shared" si="1"/>
        <v>1.0416666666666667</v>
      </c>
    </row>
    <row r="25" spans="2:12" x14ac:dyDescent="0.25">
      <c r="B25" s="7" t="s">
        <v>31</v>
      </c>
      <c r="C25" s="13">
        <v>2.6963262554769128E-3</v>
      </c>
      <c r="D25" s="31">
        <v>24</v>
      </c>
      <c r="E25" s="4">
        <v>54</v>
      </c>
      <c r="F25" s="13">
        <f t="shared" si="0"/>
        <v>0.44444444444444442</v>
      </c>
      <c r="H25" s="7" t="s">
        <v>65</v>
      </c>
      <c r="I25" s="13">
        <v>0.84439666756248322</v>
      </c>
      <c r="J25" s="31">
        <v>6284</v>
      </c>
      <c r="K25" s="4">
        <v>9626</v>
      </c>
      <c r="L25" s="13">
        <f t="shared" si="1"/>
        <v>0.65281529191772281</v>
      </c>
    </row>
    <row r="26" spans="2:12" x14ac:dyDescent="0.25">
      <c r="B26" s="7" t="s">
        <v>77</v>
      </c>
      <c r="C26" s="13">
        <v>5.6173463655769017E-4</v>
      </c>
      <c r="D26" s="31">
        <v>5</v>
      </c>
      <c r="E26" s="4">
        <v>9</v>
      </c>
      <c r="F26" s="13">
        <f t="shared" si="0"/>
        <v>0.55555555555555558</v>
      </c>
      <c r="H26" s="7" t="s">
        <v>21</v>
      </c>
      <c r="I26" s="13">
        <v>8.7342112335393705E-3</v>
      </c>
      <c r="J26" s="31">
        <v>65</v>
      </c>
      <c r="K26" s="4">
        <v>58</v>
      </c>
      <c r="L26" s="13">
        <f t="shared" si="1"/>
        <v>1.1206896551724137</v>
      </c>
    </row>
    <row r="27" spans="2:12" x14ac:dyDescent="0.25">
      <c r="B27" s="7" t="s">
        <v>43</v>
      </c>
      <c r="C27" s="13">
        <v>3.9321424559038308E-3</v>
      </c>
      <c r="D27" s="31">
        <v>35</v>
      </c>
      <c r="E27" s="4">
        <v>37</v>
      </c>
      <c r="F27" s="13">
        <f t="shared" si="0"/>
        <v>0.94594594594594594</v>
      </c>
      <c r="H27" s="7" t="s">
        <v>53</v>
      </c>
      <c r="I27" s="13">
        <v>1.3437248051599031E-4</v>
      </c>
      <c r="J27" s="31">
        <v>1</v>
      </c>
      <c r="K27" s="4">
        <v>3</v>
      </c>
      <c r="L27" s="13">
        <f t="shared" si="1"/>
        <v>0.33333333333333331</v>
      </c>
    </row>
    <row r="28" spans="2:12" x14ac:dyDescent="0.25">
      <c r="B28" s="7" t="s">
        <v>81</v>
      </c>
      <c r="C28" s="13">
        <v>2.2469385462307607E-4</v>
      </c>
      <c r="D28" s="31">
        <v>2</v>
      </c>
      <c r="E28" s="4">
        <v>5</v>
      </c>
      <c r="F28" s="13">
        <f t="shared" si="0"/>
        <v>0.4</v>
      </c>
      <c r="H28" s="7" t="s">
        <v>32</v>
      </c>
      <c r="I28" s="13">
        <v>9.4060736361193233E-4</v>
      </c>
      <c r="J28" s="31">
        <v>7</v>
      </c>
      <c r="K28" s="4">
        <v>9</v>
      </c>
      <c r="L28" s="13">
        <f t="shared" si="1"/>
        <v>0.77777777777777779</v>
      </c>
    </row>
    <row r="29" spans="2:12" x14ac:dyDescent="0.25">
      <c r="B29" s="7" t="s">
        <v>56</v>
      </c>
      <c r="C29" s="13">
        <v>8.9877541849230427E-4</v>
      </c>
      <c r="D29" s="31">
        <v>8</v>
      </c>
      <c r="E29" s="4">
        <v>13</v>
      </c>
      <c r="F29" s="13">
        <f t="shared" si="0"/>
        <v>0.61538461538461542</v>
      </c>
      <c r="H29" s="7" t="s">
        <v>48</v>
      </c>
      <c r="I29" s="13">
        <v>1.4780972856758936E-3</v>
      </c>
      <c r="J29" s="31">
        <v>11</v>
      </c>
      <c r="K29" s="4">
        <v>7</v>
      </c>
      <c r="L29" s="13">
        <f t="shared" si="1"/>
        <v>1.5714285714285714</v>
      </c>
    </row>
    <row r="30" spans="2:12" x14ac:dyDescent="0.25">
      <c r="B30" s="7" t="s">
        <v>27</v>
      </c>
      <c r="C30" s="13">
        <v>2.6513874845522974E-2</v>
      </c>
      <c r="D30" s="31">
        <v>236</v>
      </c>
      <c r="E30" s="4">
        <v>310</v>
      </c>
      <c r="F30" s="13">
        <f t="shared" si="0"/>
        <v>0.76129032258064511</v>
      </c>
      <c r="H30" s="7" t="s">
        <v>24</v>
      </c>
      <c r="I30" s="13">
        <v>4.0311744154797097E-4</v>
      </c>
      <c r="J30" s="31">
        <v>3</v>
      </c>
      <c r="K30" s="4">
        <v>7</v>
      </c>
      <c r="L30" s="13">
        <f t="shared" si="1"/>
        <v>0.42857142857142855</v>
      </c>
    </row>
    <row r="31" spans="2:12" x14ac:dyDescent="0.25">
      <c r="B31" s="7" t="s">
        <v>63</v>
      </c>
      <c r="C31" s="13">
        <v>4.4152342433434445E-2</v>
      </c>
      <c r="D31" s="31">
        <v>393</v>
      </c>
      <c r="E31" s="4">
        <v>417</v>
      </c>
      <c r="F31" s="13">
        <f t="shared" si="0"/>
        <v>0.94244604316546765</v>
      </c>
      <c r="H31" s="7" t="s">
        <v>62</v>
      </c>
      <c r="I31" s="13">
        <v>1.6930932545014783E-2</v>
      </c>
      <c r="J31" s="31">
        <v>126</v>
      </c>
      <c r="K31" s="4">
        <v>207</v>
      </c>
      <c r="L31" s="13">
        <f t="shared" si="1"/>
        <v>0.60869565217391308</v>
      </c>
    </row>
    <row r="32" spans="2:12" x14ac:dyDescent="0.25">
      <c r="B32" s="7" t="s">
        <v>80</v>
      </c>
      <c r="C32" s="13">
        <v>1.0111223458038423E-3</v>
      </c>
      <c r="D32" s="31">
        <v>9</v>
      </c>
      <c r="E32" s="4">
        <v>9</v>
      </c>
      <c r="F32" s="13">
        <f t="shared" si="0"/>
        <v>1</v>
      </c>
      <c r="H32" s="7" t="s">
        <v>55</v>
      </c>
      <c r="I32" s="13">
        <v>2.6874496103198063E-4</v>
      </c>
      <c r="J32" s="31">
        <v>2</v>
      </c>
      <c r="K32" s="4">
        <v>1</v>
      </c>
      <c r="L32" s="13">
        <f t="shared" si="1"/>
        <v>2</v>
      </c>
    </row>
    <row r="33" spans="2:12" x14ac:dyDescent="0.25">
      <c r="B33" s="7" t="s">
        <v>65</v>
      </c>
      <c r="C33" s="13">
        <v>0.64273677114930905</v>
      </c>
      <c r="D33" s="31">
        <v>5721</v>
      </c>
      <c r="E33" s="4">
        <v>13804</v>
      </c>
      <c r="F33" s="13">
        <f t="shared" si="0"/>
        <v>0.41444508838017968</v>
      </c>
      <c r="H33" s="7" t="s">
        <v>30</v>
      </c>
      <c r="I33" s="13">
        <v>8.0623488309594193E-4</v>
      </c>
      <c r="J33" s="31">
        <v>6</v>
      </c>
      <c r="K33" s="4">
        <v>15</v>
      </c>
      <c r="L33" s="13">
        <f t="shared" si="1"/>
        <v>0.4</v>
      </c>
    </row>
    <row r="34" spans="2:12" x14ac:dyDescent="0.25">
      <c r="B34" s="7" t="s">
        <v>21</v>
      </c>
      <c r="C34" s="13">
        <v>2.2581732389619143E-2</v>
      </c>
      <c r="D34" s="31">
        <v>201</v>
      </c>
      <c r="E34" s="4">
        <v>197</v>
      </c>
      <c r="F34" s="13">
        <f t="shared" si="0"/>
        <v>1.0203045685279188</v>
      </c>
      <c r="H34" s="7" t="s">
        <v>25</v>
      </c>
      <c r="I34" s="13">
        <v>2.7815103466809998E-2</v>
      </c>
      <c r="J34" s="31">
        <v>207</v>
      </c>
      <c r="K34" s="4">
        <v>153</v>
      </c>
      <c r="L34" s="13">
        <f t="shared" si="1"/>
        <v>1.3529411764705883</v>
      </c>
    </row>
    <row r="35" spans="2:12" x14ac:dyDescent="0.25">
      <c r="B35" s="7" t="s">
        <v>53</v>
      </c>
      <c r="C35" s="13">
        <v>1.9098977642961466E-3</v>
      </c>
      <c r="D35" s="31">
        <v>17</v>
      </c>
      <c r="E35" s="4">
        <v>71</v>
      </c>
      <c r="F35" s="13">
        <f t="shared" si="0"/>
        <v>0.23943661971830985</v>
      </c>
      <c r="H35" s="7" t="s">
        <v>40</v>
      </c>
      <c r="I35" s="13">
        <v>1.4780972856758936E-3</v>
      </c>
      <c r="J35" s="31">
        <v>11</v>
      </c>
      <c r="K35" s="4">
        <v>14</v>
      </c>
      <c r="L35" s="13">
        <f t="shared" si="1"/>
        <v>0.7857142857142857</v>
      </c>
    </row>
    <row r="36" spans="2:12" x14ac:dyDescent="0.25">
      <c r="B36" s="7" t="s">
        <v>32</v>
      </c>
      <c r="C36" s="13">
        <v>5.0556117290192111E-3</v>
      </c>
      <c r="D36" s="31">
        <v>45</v>
      </c>
      <c r="E36" s="4">
        <v>88</v>
      </c>
      <c r="F36" s="13">
        <f t="shared" si="0"/>
        <v>0.51136363636363635</v>
      </c>
      <c r="H36" s="7" t="s">
        <v>54</v>
      </c>
      <c r="I36" s="13">
        <v>4.0311744154797097E-4</v>
      </c>
      <c r="J36" s="31">
        <v>3</v>
      </c>
      <c r="K36" s="4">
        <v>7</v>
      </c>
      <c r="L36" s="13">
        <f t="shared" si="1"/>
        <v>0.42857142857142855</v>
      </c>
    </row>
    <row r="37" spans="2:12" x14ac:dyDescent="0.25">
      <c r="B37" s="7" t="s">
        <v>69</v>
      </c>
      <c r="C37" s="13">
        <v>6.740815638692282E-4</v>
      </c>
      <c r="D37" s="31">
        <v>6</v>
      </c>
      <c r="E37" s="4">
        <v>18</v>
      </c>
      <c r="F37" s="13">
        <f t="shared" si="0"/>
        <v>0.33333333333333331</v>
      </c>
      <c r="H37" s="7" t="s">
        <v>29</v>
      </c>
      <c r="I37" s="13">
        <v>4.0311744154797097E-4</v>
      </c>
      <c r="J37" s="31">
        <v>3</v>
      </c>
      <c r="K37" s="4">
        <v>3</v>
      </c>
      <c r="L37" s="13">
        <f t="shared" si="1"/>
        <v>1</v>
      </c>
    </row>
    <row r="38" spans="2:12" x14ac:dyDescent="0.25">
      <c r="B38" s="7" t="s">
        <v>48</v>
      </c>
      <c r="C38" s="13">
        <v>4.4938770924615214E-3</v>
      </c>
      <c r="D38" s="31">
        <v>40</v>
      </c>
      <c r="E38" s="4">
        <v>79</v>
      </c>
      <c r="F38" s="13">
        <f t="shared" si="0"/>
        <v>0.50632911392405067</v>
      </c>
      <c r="H38" s="7" t="s">
        <v>57</v>
      </c>
      <c r="I38" s="13">
        <v>2.6874496103198063E-4</v>
      </c>
      <c r="J38" s="31">
        <v>2</v>
      </c>
      <c r="K38" s="4">
        <v>1</v>
      </c>
      <c r="L38" s="13">
        <f t="shared" si="1"/>
        <v>2</v>
      </c>
    </row>
    <row r="39" spans="2:12" x14ac:dyDescent="0.25">
      <c r="B39" s="7" t="s">
        <v>72</v>
      </c>
      <c r="C39" s="13">
        <v>5.6173463655769017E-4</v>
      </c>
      <c r="D39" s="31">
        <v>5</v>
      </c>
      <c r="E39" s="4">
        <v>13</v>
      </c>
      <c r="F39" s="13">
        <f t="shared" si="0"/>
        <v>0.38461538461538464</v>
      </c>
      <c r="H39" s="7" t="s">
        <v>36</v>
      </c>
      <c r="I39" s="13">
        <v>6.4498790647675355E-3</v>
      </c>
      <c r="J39" s="31">
        <v>48</v>
      </c>
      <c r="K39" s="4">
        <v>34</v>
      </c>
      <c r="L39" s="13">
        <f t="shared" si="1"/>
        <v>1.411764705882353</v>
      </c>
    </row>
    <row r="40" spans="2:12" x14ac:dyDescent="0.25">
      <c r="B40" s="7" t="s">
        <v>24</v>
      </c>
      <c r="C40" s="13">
        <v>1.1234692731153803E-3</v>
      </c>
      <c r="D40" s="31">
        <v>10</v>
      </c>
      <c r="E40" s="4">
        <v>27</v>
      </c>
      <c r="F40" s="13">
        <f t="shared" si="0"/>
        <v>0.37037037037037035</v>
      </c>
      <c r="H40" s="7" t="s">
        <v>46</v>
      </c>
      <c r="I40" s="13">
        <v>2.6874496103198063E-4</v>
      </c>
      <c r="J40" s="31">
        <v>2</v>
      </c>
      <c r="K40" s="4">
        <v>2</v>
      </c>
      <c r="L40" s="13">
        <f t="shared" si="1"/>
        <v>1</v>
      </c>
    </row>
    <row r="41" spans="2:12" x14ac:dyDescent="0.25">
      <c r="B41" s="7" t="s">
        <v>84</v>
      </c>
      <c r="C41" s="13">
        <v>1.1234692731153803E-4</v>
      </c>
      <c r="D41" s="31">
        <v>1</v>
      </c>
      <c r="E41" s="4">
        <v>4</v>
      </c>
      <c r="F41" s="13">
        <f t="shared" si="0"/>
        <v>0.25</v>
      </c>
      <c r="H41" s="7" t="s">
        <v>37</v>
      </c>
      <c r="I41" s="13">
        <v>1.3437248051599031E-4</v>
      </c>
      <c r="J41" s="31">
        <v>1</v>
      </c>
      <c r="K41" s="4">
        <v>2</v>
      </c>
      <c r="L41" s="13">
        <f t="shared" si="1"/>
        <v>0.5</v>
      </c>
    </row>
    <row r="42" spans="2:12" x14ac:dyDescent="0.25">
      <c r="B42" s="7" t="s">
        <v>62</v>
      </c>
      <c r="C42" s="13">
        <v>5.9431524547803614E-2</v>
      </c>
      <c r="D42" s="31">
        <v>529</v>
      </c>
      <c r="E42" s="4">
        <v>499</v>
      </c>
      <c r="F42" s="13">
        <f t="shared" si="0"/>
        <v>1.060120240480962</v>
      </c>
      <c r="H42" s="7" t="s">
        <v>50</v>
      </c>
      <c r="I42" s="13">
        <v>2.6874496103198063E-4</v>
      </c>
      <c r="J42" s="31">
        <v>2</v>
      </c>
      <c r="K42" s="4">
        <v>2</v>
      </c>
      <c r="L42" s="13">
        <f t="shared" si="1"/>
        <v>1</v>
      </c>
    </row>
    <row r="43" spans="2:12" x14ac:dyDescent="0.25">
      <c r="B43" s="7" t="s">
        <v>79</v>
      </c>
      <c r="C43" s="13">
        <v>1.1234692731153803E-4</v>
      </c>
      <c r="D43" s="31">
        <v>1</v>
      </c>
      <c r="E43" s="4">
        <v>6</v>
      </c>
      <c r="F43" s="13">
        <f t="shared" si="0"/>
        <v>0.16666666666666666</v>
      </c>
      <c r="H43" s="7" t="s">
        <v>49</v>
      </c>
      <c r="I43" s="13">
        <v>1.3437248051599031E-4</v>
      </c>
      <c r="J43" s="31">
        <v>1</v>
      </c>
      <c r="K43" s="4">
        <v>2</v>
      </c>
      <c r="L43" s="13">
        <f t="shared" si="1"/>
        <v>0.5</v>
      </c>
    </row>
    <row r="44" spans="2:12" x14ac:dyDescent="0.25">
      <c r="B44" s="7" t="s">
        <v>71</v>
      </c>
      <c r="C44" s="13">
        <v>7.8642849118076624E-4</v>
      </c>
      <c r="D44" s="31">
        <v>7</v>
      </c>
      <c r="E44" s="4">
        <v>21</v>
      </c>
      <c r="F44" s="13">
        <f t="shared" si="0"/>
        <v>0.33333333333333331</v>
      </c>
      <c r="H44" s="7" t="s">
        <v>26</v>
      </c>
      <c r="I44" s="13">
        <v>1.3437248051599031E-4</v>
      </c>
      <c r="J44" s="31">
        <v>1</v>
      </c>
      <c r="K44" s="4">
        <v>1</v>
      </c>
      <c r="L44" s="13">
        <f t="shared" si="1"/>
        <v>1</v>
      </c>
    </row>
    <row r="45" spans="2:12" x14ac:dyDescent="0.25">
      <c r="B45" s="7" t="s">
        <v>73</v>
      </c>
      <c r="C45" s="13">
        <v>2.2469385462307607E-4</v>
      </c>
      <c r="D45" s="31">
        <v>2</v>
      </c>
      <c r="E45" s="4">
        <v>7</v>
      </c>
      <c r="F45" s="13">
        <f t="shared" si="0"/>
        <v>0.2857142857142857</v>
      </c>
      <c r="H45" s="7" t="s">
        <v>41</v>
      </c>
      <c r="I45" s="13">
        <v>1.3437248051599031E-4</v>
      </c>
      <c r="J45" s="31">
        <v>1</v>
      </c>
      <c r="K45" s="4">
        <v>1</v>
      </c>
      <c r="L45" s="13">
        <f t="shared" si="1"/>
        <v>1</v>
      </c>
    </row>
    <row r="46" spans="2:12" x14ac:dyDescent="0.25">
      <c r="B46" s="7" t="s">
        <v>30</v>
      </c>
      <c r="C46" s="13">
        <v>8.9877541849230427E-4</v>
      </c>
      <c r="D46" s="31">
        <v>8</v>
      </c>
      <c r="E46" s="4">
        <v>35</v>
      </c>
      <c r="F46" s="13">
        <f t="shared" si="0"/>
        <v>0.22857142857142856</v>
      </c>
      <c r="H46" s="7" t="s">
        <v>23</v>
      </c>
      <c r="I46" s="13">
        <v>9.137328675087342E-3</v>
      </c>
      <c r="J46" s="31">
        <v>68</v>
      </c>
      <c r="K46" s="4">
        <v>51</v>
      </c>
      <c r="L46" s="13">
        <f t="shared" si="1"/>
        <v>1.3333333333333333</v>
      </c>
    </row>
    <row r="47" spans="2:12" x14ac:dyDescent="0.25">
      <c r="B47" s="7" t="s">
        <v>25</v>
      </c>
      <c r="C47" s="13">
        <v>1.988540613414223E-2</v>
      </c>
      <c r="D47" s="31">
        <v>177</v>
      </c>
      <c r="E47" s="4">
        <v>268</v>
      </c>
      <c r="F47" s="13">
        <f t="shared" si="0"/>
        <v>0.66044776119402981</v>
      </c>
      <c r="H47" s="7" t="s">
        <v>7</v>
      </c>
      <c r="I47" s="23">
        <v>1</v>
      </c>
      <c r="J47" s="31">
        <v>7442</v>
      </c>
      <c r="K47" s="14">
        <v>11788</v>
      </c>
      <c r="L47" s="23">
        <f t="shared" si="1"/>
        <v>0.63131998642687481</v>
      </c>
    </row>
    <row r="48" spans="2:12" x14ac:dyDescent="0.25">
      <c r="B48" s="7" t="s">
        <v>40</v>
      </c>
      <c r="C48" s="13">
        <v>5.3926525109538256E-3</v>
      </c>
      <c r="D48" s="31">
        <v>48</v>
      </c>
      <c r="E48" s="4">
        <v>54</v>
      </c>
      <c r="F48" s="13">
        <f t="shared" si="0"/>
        <v>0.88888888888888884</v>
      </c>
    </row>
    <row r="49" spans="2:9" x14ac:dyDescent="0.25">
      <c r="B49" s="7" t="s">
        <v>70</v>
      </c>
      <c r="C49" s="13">
        <v>8.9877541849230427E-4</v>
      </c>
      <c r="D49" s="31">
        <v>8</v>
      </c>
      <c r="E49" s="4">
        <v>19</v>
      </c>
      <c r="F49" s="13">
        <f t="shared" si="0"/>
        <v>0.42105263157894735</v>
      </c>
    </row>
    <row r="50" spans="2:9" x14ac:dyDescent="0.25">
      <c r="B50" s="7" t="s">
        <v>54</v>
      </c>
      <c r="C50" s="13">
        <v>2.1345916189192226E-3</v>
      </c>
      <c r="D50" s="31">
        <v>19</v>
      </c>
      <c r="E50" s="4">
        <v>44</v>
      </c>
      <c r="F50" s="13">
        <f t="shared" si="0"/>
        <v>0.43181818181818182</v>
      </c>
    </row>
    <row r="51" spans="2:9" x14ac:dyDescent="0.25">
      <c r="B51" s="7" t="s">
        <v>29</v>
      </c>
      <c r="C51" s="13">
        <v>3.370407819346141E-4</v>
      </c>
      <c r="D51" s="31">
        <v>3</v>
      </c>
      <c r="E51" s="4">
        <v>16</v>
      </c>
      <c r="F51" s="13">
        <f t="shared" si="0"/>
        <v>0.1875</v>
      </c>
    </row>
    <row r="52" spans="2:9" x14ac:dyDescent="0.25">
      <c r="B52" s="7" t="s">
        <v>57</v>
      </c>
      <c r="C52" s="13">
        <v>2.8086731827884509E-3</v>
      </c>
      <c r="D52" s="31">
        <v>25</v>
      </c>
      <c r="E52" s="4">
        <v>38</v>
      </c>
      <c r="F52" s="13">
        <f t="shared" si="0"/>
        <v>0.65789473684210531</v>
      </c>
    </row>
    <row r="53" spans="2:9" x14ac:dyDescent="0.25">
      <c r="B53" s="7" t="s">
        <v>68</v>
      </c>
      <c r="C53" s="13">
        <v>2.1121222334569149E-2</v>
      </c>
      <c r="D53" s="31">
        <v>188</v>
      </c>
      <c r="E53" s="4">
        <v>198</v>
      </c>
      <c r="F53" s="13">
        <f t="shared" si="0"/>
        <v>0.9494949494949495</v>
      </c>
    </row>
    <row r="54" spans="2:9" x14ac:dyDescent="0.25">
      <c r="B54" s="7" t="s">
        <v>74</v>
      </c>
      <c r="C54" s="13">
        <v>5.6173463655769017E-4</v>
      </c>
      <c r="D54" s="31">
        <v>5</v>
      </c>
      <c r="E54" s="4">
        <v>7</v>
      </c>
      <c r="F54" s="13">
        <f t="shared" si="0"/>
        <v>0.7142857142857143</v>
      </c>
    </row>
    <row r="55" spans="2:9" x14ac:dyDescent="0.25">
      <c r="B55" s="7" t="s">
        <v>36</v>
      </c>
      <c r="C55" s="13">
        <v>6.4037748567576675E-3</v>
      </c>
      <c r="D55" s="31">
        <v>57</v>
      </c>
      <c r="E55" s="4">
        <v>86</v>
      </c>
      <c r="F55" s="13">
        <f t="shared" si="0"/>
        <v>0.66279069767441856</v>
      </c>
      <c r="H55" t="s">
        <v>90</v>
      </c>
      <c r="I55">
        <v>23545</v>
      </c>
    </row>
    <row r="56" spans="2:9" x14ac:dyDescent="0.25">
      <c r="B56" s="7" t="s">
        <v>46</v>
      </c>
      <c r="C56" s="13">
        <v>2.2469385462307607E-4</v>
      </c>
      <c r="D56" s="31">
        <v>2</v>
      </c>
      <c r="E56" s="4">
        <v>15</v>
      </c>
      <c r="F56" s="13">
        <f t="shared" si="0"/>
        <v>0.13333333333333333</v>
      </c>
      <c r="H56" t="s">
        <v>91</v>
      </c>
      <c r="I56" s="3">
        <v>12359</v>
      </c>
    </row>
    <row r="57" spans="2:9" x14ac:dyDescent="0.25">
      <c r="B57" s="7" t="s">
        <v>37</v>
      </c>
      <c r="C57" s="13">
        <v>4.4938770924615214E-4</v>
      </c>
      <c r="D57" s="31">
        <v>4</v>
      </c>
      <c r="E57" s="4">
        <v>7</v>
      </c>
      <c r="F57" s="13">
        <f t="shared" si="0"/>
        <v>0.5714285714285714</v>
      </c>
    </row>
    <row r="58" spans="2:9" x14ac:dyDescent="0.25">
      <c r="B58" s="7" t="s">
        <v>50</v>
      </c>
      <c r="C58" s="13">
        <v>1.1234692731153803E-4</v>
      </c>
      <c r="D58" s="31">
        <v>1</v>
      </c>
      <c r="E58" s="4">
        <v>12</v>
      </c>
      <c r="F58" s="13">
        <f t="shared" si="0"/>
        <v>8.3333333333333329E-2</v>
      </c>
    </row>
    <row r="59" spans="2:9" x14ac:dyDescent="0.25">
      <c r="B59" s="7" t="s">
        <v>49</v>
      </c>
      <c r="C59" s="13">
        <v>2.1345916189192226E-3</v>
      </c>
      <c r="D59" s="31">
        <v>19</v>
      </c>
      <c r="E59" s="4">
        <v>31</v>
      </c>
      <c r="F59" s="13">
        <f t="shared" si="0"/>
        <v>0.61290322580645162</v>
      </c>
    </row>
    <row r="60" spans="2:9" x14ac:dyDescent="0.25">
      <c r="B60" s="7" t="s">
        <v>26</v>
      </c>
      <c r="C60" s="13">
        <v>1.4605100550499944E-3</v>
      </c>
      <c r="D60" s="31">
        <v>13</v>
      </c>
      <c r="E60" s="4">
        <v>38</v>
      </c>
      <c r="F60" s="13">
        <f t="shared" si="0"/>
        <v>0.34210526315789475</v>
      </c>
    </row>
    <row r="61" spans="2:9" x14ac:dyDescent="0.25">
      <c r="B61" s="7" t="s">
        <v>41</v>
      </c>
      <c r="C61" s="13">
        <v>2.2469385462307607E-4</v>
      </c>
      <c r="D61" s="31">
        <v>2</v>
      </c>
      <c r="E61" s="4">
        <v>5</v>
      </c>
      <c r="F61" s="13">
        <f t="shared" si="0"/>
        <v>0.4</v>
      </c>
    </row>
    <row r="62" spans="2:9" x14ac:dyDescent="0.25">
      <c r="B62" s="7" t="s">
        <v>23</v>
      </c>
      <c r="C62" s="13">
        <v>9.3247949668576573E-3</v>
      </c>
      <c r="D62" s="31">
        <v>83</v>
      </c>
      <c r="E62" s="4">
        <v>116</v>
      </c>
      <c r="F62" s="13">
        <f t="shared" si="0"/>
        <v>0.71551724137931039</v>
      </c>
    </row>
    <row r="63" spans="2:9" x14ac:dyDescent="0.25">
      <c r="B63" s="7" t="s">
        <v>7</v>
      </c>
      <c r="C63" s="23">
        <v>1</v>
      </c>
      <c r="D63" s="31">
        <v>8901</v>
      </c>
      <c r="E63" s="14">
        <v>25821</v>
      </c>
      <c r="F63" s="23">
        <f t="shared" si="0"/>
        <v>0.344719414430115</v>
      </c>
    </row>
    <row r="64" spans="2:9" x14ac:dyDescent="0.25">
      <c r="G64" s="2">
        <f>E63/K47</f>
        <v>2.1904479131319987</v>
      </c>
    </row>
    <row r="68" spans="2:12" x14ac:dyDescent="0.25">
      <c r="B68" s="36" t="s">
        <v>152</v>
      </c>
      <c r="C68" s="36"/>
      <c r="D68" s="36"/>
      <c r="E68" s="36"/>
      <c r="F68" s="36"/>
      <c r="H68" s="36" t="s">
        <v>151</v>
      </c>
      <c r="I68" s="36"/>
      <c r="J68" s="36"/>
      <c r="K68" s="36"/>
      <c r="L68" s="36"/>
    </row>
    <row r="69" spans="2:12" x14ac:dyDescent="0.25">
      <c r="B69" s="36"/>
      <c r="C69" s="36"/>
      <c r="D69" s="36"/>
      <c r="E69" s="36"/>
      <c r="F69" s="36"/>
      <c r="H69" s="36"/>
      <c r="I69" s="36"/>
      <c r="J69" s="36"/>
      <c r="K69" s="36"/>
      <c r="L69" s="36"/>
    </row>
    <row r="70" spans="2:12" x14ac:dyDescent="0.25">
      <c r="B70" s="7" t="s">
        <v>85</v>
      </c>
      <c r="C70" s="33" t="s">
        <v>145</v>
      </c>
      <c r="D70" s="5" t="s">
        <v>146</v>
      </c>
      <c r="E70" s="5" t="s">
        <v>147</v>
      </c>
      <c r="F70" s="5" t="s">
        <v>148</v>
      </c>
      <c r="H70" s="7" t="s">
        <v>85</v>
      </c>
      <c r="I70" s="33" t="s">
        <v>145</v>
      </c>
      <c r="J70" s="5" t="s">
        <v>146</v>
      </c>
      <c r="K70" s="5" t="s">
        <v>147</v>
      </c>
      <c r="L70" s="5" t="s">
        <v>148</v>
      </c>
    </row>
    <row r="71" spans="2:12" x14ac:dyDescent="0.25">
      <c r="B71" s="7" t="s">
        <v>1</v>
      </c>
      <c r="C71" s="13">
        <v>0.16307913899335841</v>
      </c>
      <c r="D71" s="31">
        <v>2038</v>
      </c>
      <c r="E71" s="4">
        <v>2166</v>
      </c>
      <c r="F71" s="13">
        <f>+D71/E71</f>
        <v>0.94090489381348108</v>
      </c>
      <c r="H71" s="7" t="s">
        <v>1</v>
      </c>
      <c r="I71" s="13">
        <v>0.21171770972037285</v>
      </c>
      <c r="J71" s="31">
        <v>235</v>
      </c>
      <c r="K71" s="4">
        <v>795</v>
      </c>
      <c r="L71" s="13">
        <f>+J71/K71</f>
        <v>0.29559748427672955</v>
      </c>
    </row>
    <row r="72" spans="2:12" x14ac:dyDescent="0.25">
      <c r="B72" s="7" t="s">
        <v>2</v>
      </c>
      <c r="C72" s="13">
        <v>5.1372329359046169E-2</v>
      </c>
      <c r="D72" s="31">
        <v>642</v>
      </c>
      <c r="E72" s="4">
        <v>1310</v>
      </c>
      <c r="F72" s="13">
        <f t="shared" ref="F72:F76" si="2">+D72/E72</f>
        <v>0.49007633587786259</v>
      </c>
      <c r="H72" s="7" t="s">
        <v>2</v>
      </c>
      <c r="I72" s="13">
        <v>3.462050599201065E-2</v>
      </c>
      <c r="J72" s="31">
        <v>454</v>
      </c>
      <c r="K72" s="4">
        <v>701</v>
      </c>
      <c r="L72" s="13">
        <f t="shared" ref="L72:L77" si="3">+J72/K72</f>
        <v>0.64764621968616265</v>
      </c>
    </row>
    <row r="73" spans="2:12" x14ac:dyDescent="0.25">
      <c r="B73" s="7" t="s">
        <v>3</v>
      </c>
      <c r="C73" s="13">
        <v>0.21517164119388654</v>
      </c>
      <c r="D73" s="31">
        <v>2689</v>
      </c>
      <c r="E73" s="4">
        <v>6556</v>
      </c>
      <c r="F73" s="13">
        <f t="shared" si="2"/>
        <v>0.41015863331299574</v>
      </c>
      <c r="H73" s="7" t="s">
        <v>3</v>
      </c>
      <c r="I73" s="13">
        <v>0.17416777629826896</v>
      </c>
      <c r="J73" s="31">
        <v>641</v>
      </c>
      <c r="K73" s="4">
        <v>923</v>
      </c>
      <c r="L73" s="13">
        <f t="shared" si="3"/>
        <v>0.69447453954496208</v>
      </c>
    </row>
    <row r="74" spans="2:12" x14ac:dyDescent="0.25">
      <c r="B74" s="7" t="s">
        <v>4</v>
      </c>
      <c r="C74" s="13">
        <v>0.17412178922941507</v>
      </c>
      <c r="D74" s="31">
        <v>2176</v>
      </c>
      <c r="E74" s="4">
        <v>2310</v>
      </c>
      <c r="F74" s="13">
        <f t="shared" si="2"/>
        <v>0.94199134199134205</v>
      </c>
      <c r="H74" s="7" t="s">
        <v>4</v>
      </c>
      <c r="I74" s="13">
        <v>0.22290279627163781</v>
      </c>
      <c r="J74" s="31">
        <v>340</v>
      </c>
      <c r="K74" s="4">
        <v>592</v>
      </c>
      <c r="L74" s="13">
        <f t="shared" si="3"/>
        <v>0.57432432432432434</v>
      </c>
    </row>
    <row r="75" spans="2:12" x14ac:dyDescent="0.25">
      <c r="B75" s="7" t="s">
        <v>5</v>
      </c>
      <c r="C75" s="13">
        <v>0.31927662639033366</v>
      </c>
      <c r="D75" s="31">
        <v>3990</v>
      </c>
      <c r="E75" s="4">
        <v>8038</v>
      </c>
      <c r="F75" s="13">
        <f t="shared" si="2"/>
        <v>0.49639213734759891</v>
      </c>
      <c r="H75" s="7" t="s">
        <v>5</v>
      </c>
      <c r="I75" s="13">
        <v>0.31185086551264979</v>
      </c>
      <c r="J75" s="31">
        <v>1149</v>
      </c>
      <c r="K75" s="4">
        <v>2614</v>
      </c>
      <c r="L75" s="13">
        <f t="shared" si="3"/>
        <v>0.43955623565416985</v>
      </c>
    </row>
    <row r="76" spans="2:12" x14ac:dyDescent="0.25">
      <c r="B76" s="7" t="s">
        <v>6</v>
      </c>
      <c r="C76" s="13">
        <v>7.6978474833960156E-2</v>
      </c>
      <c r="D76" s="31">
        <v>962</v>
      </c>
      <c r="E76" s="4">
        <v>1124</v>
      </c>
      <c r="F76" s="13">
        <f t="shared" si="2"/>
        <v>0.85587188612099641</v>
      </c>
      <c r="H76" s="7" t="s">
        <v>6</v>
      </c>
      <c r="I76" s="13">
        <v>4.4740346205059921E-2</v>
      </c>
      <c r="J76" s="31">
        <v>208</v>
      </c>
      <c r="K76" s="4">
        <v>464</v>
      </c>
      <c r="L76" s="13">
        <f t="shared" si="3"/>
        <v>0.44827586206896552</v>
      </c>
    </row>
    <row r="77" spans="2:12" x14ac:dyDescent="0.25">
      <c r="B77" s="7" t="s">
        <v>7</v>
      </c>
      <c r="C77" s="23">
        <v>1</v>
      </c>
      <c r="D77" s="31">
        <v>12497</v>
      </c>
      <c r="E77" s="14">
        <v>40245</v>
      </c>
      <c r="F77" s="23">
        <f>+D77/E77</f>
        <v>0.3105230463411604</v>
      </c>
      <c r="H77" s="7" t="s">
        <v>7</v>
      </c>
      <c r="I77" s="23">
        <f>SUM(I70:I76)</f>
        <v>1</v>
      </c>
      <c r="J77" s="31">
        <f>SUM(J71:J76)</f>
        <v>3027</v>
      </c>
      <c r="K77" s="14">
        <v>9497</v>
      </c>
      <c r="L77" s="23">
        <f t="shared" si="3"/>
        <v>0.31873223123091504</v>
      </c>
    </row>
    <row r="78" spans="2:12" x14ac:dyDescent="0.25">
      <c r="G78" s="2">
        <f>E77/K77</f>
        <v>4.2376539959987367</v>
      </c>
    </row>
    <row r="80" spans="2:12" x14ac:dyDescent="0.25">
      <c r="B80" s="36" t="s">
        <v>153</v>
      </c>
      <c r="C80" s="36"/>
      <c r="D80" s="36"/>
      <c r="E80" s="36"/>
      <c r="F80" s="36"/>
      <c r="H80" s="36" t="s">
        <v>154</v>
      </c>
      <c r="I80" s="36"/>
      <c r="J80" s="36"/>
      <c r="K80" s="36"/>
      <c r="L80" s="36"/>
    </row>
    <row r="81" spans="2:13" x14ac:dyDescent="0.25">
      <c r="B81" s="36"/>
      <c r="C81" s="36"/>
      <c r="D81" s="36"/>
      <c r="E81" s="36"/>
      <c r="F81" s="36"/>
      <c r="H81" s="36"/>
      <c r="I81" s="36"/>
      <c r="J81" s="36"/>
      <c r="K81" s="36"/>
      <c r="L81" s="36"/>
    </row>
    <row r="82" spans="2:13" x14ac:dyDescent="0.25">
      <c r="B82" s="7" t="s">
        <v>85</v>
      </c>
      <c r="C82" s="33" t="s">
        <v>145</v>
      </c>
      <c r="D82" s="5" t="s">
        <v>146</v>
      </c>
      <c r="E82" s="5" t="s">
        <v>147</v>
      </c>
      <c r="F82" s="5" t="s">
        <v>148</v>
      </c>
      <c r="H82" s="7" t="s">
        <v>85</v>
      </c>
      <c r="I82" s="33" t="s">
        <v>145</v>
      </c>
      <c r="J82" s="5" t="s">
        <v>146</v>
      </c>
      <c r="K82" s="5" t="s">
        <v>147</v>
      </c>
      <c r="L82" s="5" t="s">
        <v>148</v>
      </c>
    </row>
    <row r="83" spans="2:13" x14ac:dyDescent="0.25">
      <c r="B83" s="21" t="s">
        <v>8</v>
      </c>
      <c r="C83" s="13">
        <f>D83/$D$97</f>
        <v>0.73963670237540757</v>
      </c>
      <c r="D83" s="31">
        <v>1588</v>
      </c>
      <c r="E83" s="4">
        <v>3366</v>
      </c>
      <c r="F83" s="13">
        <f t="shared" ref="F83:F97" si="4">+D83/E83</f>
        <v>0.47177658942364825</v>
      </c>
      <c r="G83" s="2"/>
      <c r="H83" s="21" t="s">
        <v>8</v>
      </c>
      <c r="I83" s="13">
        <f>J83/$J$97</f>
        <v>0.90361445783132532</v>
      </c>
      <c r="J83" s="31">
        <v>1050</v>
      </c>
      <c r="K83" s="4">
        <v>1540</v>
      </c>
      <c r="L83" s="13">
        <f t="shared" ref="L83:L97" si="5">+J83/K83</f>
        <v>0.68181818181818177</v>
      </c>
      <c r="M83" s="2"/>
    </row>
    <row r="84" spans="2:13" x14ac:dyDescent="0.25">
      <c r="B84" s="21" t="s">
        <v>9</v>
      </c>
      <c r="C84" s="13">
        <f t="shared" ref="C84:C96" si="6">D84/$D$97</f>
        <v>6.3809967396367018E-2</v>
      </c>
      <c r="D84" s="31">
        <v>137</v>
      </c>
      <c r="E84" s="4">
        <v>210</v>
      </c>
      <c r="F84" s="13">
        <f t="shared" si="4"/>
        <v>0.65238095238095239</v>
      </c>
      <c r="G84" s="2"/>
      <c r="H84" s="21" t="s">
        <v>9</v>
      </c>
      <c r="I84" s="13">
        <f t="shared" ref="I84:I96" si="7">J84/$J$97</f>
        <v>1.8932874354561102E-2</v>
      </c>
      <c r="J84" s="31">
        <v>22</v>
      </c>
      <c r="K84" s="4">
        <v>27</v>
      </c>
      <c r="L84" s="13">
        <f t="shared" si="5"/>
        <v>0.81481481481481477</v>
      </c>
      <c r="M84" s="2"/>
    </row>
    <row r="85" spans="2:13" x14ac:dyDescent="0.25">
      <c r="B85" s="21" t="s">
        <v>87</v>
      </c>
      <c r="C85" s="13">
        <f t="shared" si="6"/>
        <v>4.7973917093619006E-2</v>
      </c>
      <c r="D85" s="31">
        <v>103</v>
      </c>
      <c r="E85" s="4">
        <v>221</v>
      </c>
      <c r="F85" s="13">
        <f t="shared" si="4"/>
        <v>0.4660633484162896</v>
      </c>
      <c r="G85" s="2"/>
      <c r="H85" s="21" t="s">
        <v>87</v>
      </c>
      <c r="I85" s="13">
        <f t="shared" si="7"/>
        <v>1.8072289156626505E-2</v>
      </c>
      <c r="J85" s="31">
        <v>21</v>
      </c>
      <c r="K85" s="4">
        <v>30</v>
      </c>
      <c r="L85" s="13">
        <f t="shared" si="5"/>
        <v>0.7</v>
      </c>
      <c r="M85" s="2"/>
    </row>
    <row r="86" spans="2:13" x14ac:dyDescent="0.25">
      <c r="B86" s="21" t="s">
        <v>10</v>
      </c>
      <c r="C86" s="13">
        <f t="shared" si="6"/>
        <v>3.6329762459245456E-2</v>
      </c>
      <c r="D86" s="31">
        <v>78</v>
      </c>
      <c r="E86" s="4">
        <v>125</v>
      </c>
      <c r="F86" s="13">
        <f t="shared" si="4"/>
        <v>0.624</v>
      </c>
      <c r="G86" s="2"/>
      <c r="H86" s="21" t="s">
        <v>10</v>
      </c>
      <c r="I86" s="13">
        <f t="shared" si="7"/>
        <v>1.2048192771084338E-2</v>
      </c>
      <c r="J86" s="31">
        <v>14</v>
      </c>
      <c r="K86" s="4">
        <v>27</v>
      </c>
      <c r="L86" s="13">
        <f t="shared" si="5"/>
        <v>0.51851851851851849</v>
      </c>
      <c r="M86" s="2"/>
    </row>
    <row r="87" spans="2:13" x14ac:dyDescent="0.25">
      <c r="B87" s="21" t="s">
        <v>11</v>
      </c>
      <c r="C87" s="13">
        <f t="shared" si="6"/>
        <v>3.6329762459245456E-2</v>
      </c>
      <c r="D87" s="31">
        <v>78</v>
      </c>
      <c r="E87" s="4">
        <v>127</v>
      </c>
      <c r="F87" s="13">
        <f t="shared" si="4"/>
        <v>0.61417322834645671</v>
      </c>
      <c r="G87" s="2"/>
      <c r="H87" s="21" t="s">
        <v>11</v>
      </c>
      <c r="I87" s="13">
        <f t="shared" si="7"/>
        <v>1.7211703958691909E-2</v>
      </c>
      <c r="J87" s="31">
        <v>20</v>
      </c>
      <c r="K87" s="4">
        <v>32</v>
      </c>
      <c r="L87" s="13">
        <f t="shared" si="5"/>
        <v>0.625</v>
      </c>
      <c r="M87" s="2"/>
    </row>
    <row r="88" spans="2:13" x14ac:dyDescent="0.25">
      <c r="B88" s="21" t="s">
        <v>12</v>
      </c>
      <c r="C88" s="13">
        <f t="shared" si="6"/>
        <v>2.0493712156497437E-2</v>
      </c>
      <c r="D88" s="31">
        <v>44</v>
      </c>
      <c r="E88" s="4">
        <v>70</v>
      </c>
      <c r="F88" s="13">
        <f t="shared" si="4"/>
        <v>0.62857142857142856</v>
      </c>
      <c r="G88" s="2"/>
      <c r="H88" s="21" t="s">
        <v>12</v>
      </c>
      <c r="I88" s="13">
        <f t="shared" si="7"/>
        <v>6.024096385542169E-3</v>
      </c>
      <c r="J88" s="31">
        <v>7</v>
      </c>
      <c r="K88" s="4">
        <v>7</v>
      </c>
      <c r="L88" s="13">
        <f t="shared" si="5"/>
        <v>1</v>
      </c>
      <c r="M88" s="2"/>
    </row>
    <row r="89" spans="2:13" x14ac:dyDescent="0.25">
      <c r="B89" s="21" t="s">
        <v>13</v>
      </c>
      <c r="C89" s="13">
        <f t="shared" si="6"/>
        <v>1.3972985561248253E-2</v>
      </c>
      <c r="D89" s="31">
        <v>30</v>
      </c>
      <c r="E89" s="4">
        <v>109</v>
      </c>
      <c r="F89" s="13">
        <f t="shared" si="4"/>
        <v>0.27522935779816515</v>
      </c>
      <c r="G89" s="2"/>
      <c r="H89" s="21" t="s">
        <v>13</v>
      </c>
      <c r="I89" s="13">
        <f t="shared" si="7"/>
        <v>8.6058519793459545E-3</v>
      </c>
      <c r="J89" s="31">
        <v>10</v>
      </c>
      <c r="K89" s="4">
        <v>13</v>
      </c>
      <c r="L89" s="13">
        <f t="shared" si="5"/>
        <v>0.76923076923076927</v>
      </c>
      <c r="M89" s="2"/>
    </row>
    <row r="90" spans="2:13" x14ac:dyDescent="0.25">
      <c r="B90" s="21" t="s">
        <v>14</v>
      </c>
      <c r="C90" s="13">
        <f t="shared" si="6"/>
        <v>1.2109920819748486E-2</v>
      </c>
      <c r="D90" s="31">
        <v>26</v>
      </c>
      <c r="E90" s="4">
        <v>51</v>
      </c>
      <c r="F90" s="13">
        <f t="shared" si="4"/>
        <v>0.50980392156862742</v>
      </c>
      <c r="G90" s="2"/>
      <c r="H90" s="21" t="s">
        <v>14</v>
      </c>
      <c r="I90" s="13">
        <f t="shared" si="7"/>
        <v>6.024096385542169E-3</v>
      </c>
      <c r="J90" s="31">
        <v>7</v>
      </c>
      <c r="K90" s="4">
        <v>10</v>
      </c>
      <c r="L90" s="13">
        <f t="shared" si="5"/>
        <v>0.7</v>
      </c>
      <c r="M90" s="2"/>
    </row>
    <row r="91" spans="2:13" x14ac:dyDescent="0.25">
      <c r="B91" s="21" t="s">
        <v>15</v>
      </c>
      <c r="C91" s="13">
        <f t="shared" si="6"/>
        <v>1.0712622263623661E-2</v>
      </c>
      <c r="D91" s="31">
        <v>23</v>
      </c>
      <c r="E91" s="4">
        <v>78</v>
      </c>
      <c r="F91" s="13">
        <f t="shared" si="4"/>
        <v>0.29487179487179488</v>
      </c>
      <c r="G91" s="2"/>
      <c r="H91" s="21" t="s">
        <v>15</v>
      </c>
      <c r="I91" s="13">
        <f t="shared" si="7"/>
        <v>4.3029259896729772E-3</v>
      </c>
      <c r="J91" s="31">
        <v>5</v>
      </c>
      <c r="K91" s="4">
        <v>10</v>
      </c>
      <c r="L91" s="13">
        <f t="shared" si="5"/>
        <v>0.5</v>
      </c>
      <c r="M91" s="2"/>
    </row>
    <row r="92" spans="2:13" x14ac:dyDescent="0.25">
      <c r="B92" s="21" t="s">
        <v>16</v>
      </c>
      <c r="C92" s="13">
        <f t="shared" si="6"/>
        <v>9.3153237074988359E-3</v>
      </c>
      <c r="D92" s="31">
        <v>20</v>
      </c>
      <c r="E92" s="4">
        <v>182</v>
      </c>
      <c r="F92" s="13">
        <f t="shared" si="4"/>
        <v>0.10989010989010989</v>
      </c>
      <c r="G92" s="2"/>
      <c r="H92" s="21" t="s">
        <v>16</v>
      </c>
      <c r="I92" s="13">
        <f t="shared" si="7"/>
        <v>3.4423407917383822E-3</v>
      </c>
      <c r="J92" s="31">
        <v>4</v>
      </c>
      <c r="K92" s="4">
        <v>50</v>
      </c>
      <c r="L92" s="13">
        <f t="shared" si="5"/>
        <v>0.08</v>
      </c>
      <c r="M92" s="2"/>
    </row>
    <row r="93" spans="2:13" x14ac:dyDescent="0.25">
      <c r="B93" s="21" t="s">
        <v>88</v>
      </c>
      <c r="C93" s="13">
        <f t="shared" si="6"/>
        <v>6.0549604098742429E-3</v>
      </c>
      <c r="D93" s="31">
        <v>13</v>
      </c>
      <c r="E93" s="4">
        <v>73</v>
      </c>
      <c r="F93" s="13">
        <f t="shared" si="4"/>
        <v>0.17808219178082191</v>
      </c>
      <c r="G93" s="2"/>
      <c r="H93" s="21" t="s">
        <v>88</v>
      </c>
      <c r="I93" s="13">
        <f t="shared" si="7"/>
        <v>0</v>
      </c>
      <c r="J93" s="31">
        <v>0</v>
      </c>
      <c r="K93" s="4">
        <v>1</v>
      </c>
      <c r="L93" s="13">
        <f t="shared" si="5"/>
        <v>0</v>
      </c>
      <c r="M93" s="2"/>
    </row>
    <row r="94" spans="2:13" x14ac:dyDescent="0.25">
      <c r="B94" s="21" t="s">
        <v>17</v>
      </c>
      <c r="C94" s="13">
        <f t="shared" si="6"/>
        <v>1.8630647414997672E-3</v>
      </c>
      <c r="D94" s="31">
        <v>4</v>
      </c>
      <c r="E94" s="4">
        <v>853</v>
      </c>
      <c r="F94" s="13">
        <f t="shared" si="4"/>
        <v>4.6893317702227429E-3</v>
      </c>
      <c r="G94" s="2"/>
      <c r="H94" s="21" t="s">
        <v>17</v>
      </c>
      <c r="I94" s="13">
        <f t="shared" si="7"/>
        <v>1.7211703958691911E-3</v>
      </c>
      <c r="J94" s="31">
        <v>2</v>
      </c>
      <c r="K94" s="4">
        <v>83</v>
      </c>
      <c r="L94" s="13">
        <f t="shared" si="5"/>
        <v>2.4096385542168676E-2</v>
      </c>
      <c r="M94" s="2"/>
    </row>
    <row r="95" spans="2:13" x14ac:dyDescent="0.25">
      <c r="B95" s="21" t="s">
        <v>18</v>
      </c>
      <c r="C95" s="13">
        <f t="shared" si="6"/>
        <v>9.3153237074988359E-4</v>
      </c>
      <c r="D95" s="31">
        <v>2</v>
      </c>
      <c r="E95" s="4">
        <v>3</v>
      </c>
      <c r="F95" s="13">
        <f t="shared" si="4"/>
        <v>0.66666666666666663</v>
      </c>
      <c r="G95" s="2"/>
      <c r="H95" s="21" t="s">
        <v>18</v>
      </c>
      <c r="I95" s="13">
        <f t="shared" si="7"/>
        <v>0</v>
      </c>
      <c r="J95" s="31">
        <v>0</v>
      </c>
      <c r="K95" s="4">
        <v>1</v>
      </c>
      <c r="L95" s="13">
        <f t="shared" si="5"/>
        <v>0</v>
      </c>
      <c r="M95" s="2"/>
    </row>
    <row r="96" spans="2:13" x14ac:dyDescent="0.25">
      <c r="B96" s="21" t="s">
        <v>19</v>
      </c>
      <c r="C96" s="13">
        <f t="shared" si="6"/>
        <v>4.657661853749418E-4</v>
      </c>
      <c r="D96" s="31">
        <v>1</v>
      </c>
      <c r="E96" s="4">
        <v>45</v>
      </c>
      <c r="F96" s="13">
        <f t="shared" si="4"/>
        <v>2.2222222222222223E-2</v>
      </c>
      <c r="G96" s="2"/>
      <c r="H96" s="21" t="s">
        <v>19</v>
      </c>
      <c r="I96" s="13">
        <f t="shared" si="7"/>
        <v>0</v>
      </c>
      <c r="J96" s="31">
        <v>0</v>
      </c>
      <c r="K96" s="4">
        <v>3</v>
      </c>
      <c r="L96" s="13">
        <f t="shared" si="5"/>
        <v>0</v>
      </c>
      <c r="M96" s="2"/>
    </row>
    <row r="97" spans="2:13" x14ac:dyDescent="0.25">
      <c r="B97" s="21" t="s">
        <v>7</v>
      </c>
      <c r="C97" s="23">
        <f>SUM(C83:C96)</f>
        <v>1</v>
      </c>
      <c r="D97" s="31">
        <f>SUM(D83:D96)</f>
        <v>2147</v>
      </c>
      <c r="E97" s="14">
        <v>10533</v>
      </c>
      <c r="F97" s="23">
        <f t="shared" si="4"/>
        <v>0.20383556441659545</v>
      </c>
      <c r="G97" s="2"/>
      <c r="H97" s="21" t="s">
        <v>7</v>
      </c>
      <c r="I97" s="32">
        <f>SUM(I83:I96)</f>
        <v>0.99999999999999989</v>
      </c>
      <c r="J97" s="31">
        <f>SUM(J83:J96)</f>
        <v>1162</v>
      </c>
      <c r="K97" s="14">
        <v>2141</v>
      </c>
      <c r="L97" s="23">
        <f t="shared" si="5"/>
        <v>0.54273703876693136</v>
      </c>
      <c r="M97" s="2"/>
    </row>
    <row r="98" spans="2:13" x14ac:dyDescent="0.25">
      <c r="G98" s="2">
        <f>E97/K97</f>
        <v>4.9196637085474073</v>
      </c>
      <c r="M98" s="2"/>
    </row>
  </sheetData>
  <mergeCells count="6">
    <mergeCell ref="H3:L4"/>
    <mergeCell ref="B3:F4"/>
    <mergeCell ref="H68:L69"/>
    <mergeCell ref="B68:F69"/>
    <mergeCell ref="B80:F81"/>
    <mergeCell ref="H80:L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461B-9D7B-4EF4-AD39-B9CC6633461D}">
  <dimension ref="C1:N66"/>
  <sheetViews>
    <sheetView topLeftCell="A4" zoomScale="90" zoomScaleNormal="90" workbookViewId="0">
      <selection activeCell="M19" sqref="M19:M24"/>
    </sheetView>
  </sheetViews>
  <sheetFormatPr baseColWidth="10" defaultRowHeight="15" x14ac:dyDescent="0.25"/>
  <cols>
    <col min="3" max="3" width="23.5703125" bestFit="1" customWidth="1"/>
    <col min="7" max="7" width="23.5703125" bestFit="1" customWidth="1"/>
    <col min="12" max="12" width="23.5703125" bestFit="1" customWidth="1"/>
    <col min="16" max="16" width="13.28515625" customWidth="1"/>
  </cols>
  <sheetData>
    <row r="1" spans="3:14" x14ac:dyDescent="0.25">
      <c r="F1" s="38" t="s">
        <v>116</v>
      </c>
      <c r="G1" s="38"/>
      <c r="H1" s="38"/>
      <c r="I1" s="38"/>
      <c r="J1" s="38"/>
      <c r="K1" s="38"/>
    </row>
    <row r="2" spans="3:14" x14ac:dyDescent="0.25">
      <c r="F2" s="38"/>
      <c r="G2" s="38"/>
      <c r="H2" s="38"/>
      <c r="I2" s="38"/>
      <c r="J2" s="38"/>
      <c r="K2" s="38"/>
    </row>
    <row r="4" spans="3:14" x14ac:dyDescent="0.25">
      <c r="C4" s="38" t="s">
        <v>107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3:14" x14ac:dyDescent="0.25"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3:14" x14ac:dyDescent="0.25">
      <c r="C6" s="37" t="s">
        <v>102</v>
      </c>
      <c r="D6" s="37"/>
      <c r="E6" s="37"/>
      <c r="G6" s="37" t="s">
        <v>103</v>
      </c>
      <c r="H6" s="37"/>
      <c r="I6" s="37"/>
      <c r="J6" s="37"/>
      <c r="L6" s="37" t="s">
        <v>64</v>
      </c>
      <c r="M6" s="37"/>
      <c r="N6" s="37"/>
    </row>
    <row r="7" spans="3:14" x14ac:dyDescent="0.25">
      <c r="C7" s="7" t="s">
        <v>85</v>
      </c>
      <c r="D7" s="5" t="s">
        <v>67</v>
      </c>
      <c r="E7" s="5" t="s">
        <v>66</v>
      </c>
      <c r="G7" s="7" t="s">
        <v>85</v>
      </c>
      <c r="H7" s="5" t="s">
        <v>104</v>
      </c>
      <c r="I7" s="5" t="s">
        <v>105</v>
      </c>
      <c r="J7" s="5" t="s">
        <v>106</v>
      </c>
      <c r="L7" s="7" t="s">
        <v>85</v>
      </c>
      <c r="M7" s="5" t="s">
        <v>104</v>
      </c>
      <c r="N7" s="5" t="s">
        <v>105</v>
      </c>
    </row>
    <row r="8" spans="3:14" x14ac:dyDescent="0.25">
      <c r="C8" s="7" t="s">
        <v>92</v>
      </c>
      <c r="D8" s="8">
        <v>0.32</v>
      </c>
      <c r="E8" s="8">
        <f>1-D8</f>
        <v>0.67999999999999994</v>
      </c>
      <c r="G8" s="7" t="s">
        <v>92</v>
      </c>
      <c r="H8" s="8">
        <v>0.75</v>
      </c>
      <c r="I8" s="8">
        <f>1-(H8+J8)</f>
        <v>0.24</v>
      </c>
      <c r="J8" s="8">
        <v>0.01</v>
      </c>
      <c r="L8" s="7" t="s">
        <v>92</v>
      </c>
      <c r="M8" s="8">
        <v>0.41</v>
      </c>
      <c r="N8" s="8">
        <f>1-M8</f>
        <v>0.59000000000000008</v>
      </c>
    </row>
    <row r="9" spans="3:14" x14ac:dyDescent="0.25">
      <c r="C9" s="7" t="s">
        <v>20</v>
      </c>
      <c r="D9" s="8">
        <v>0.06</v>
      </c>
      <c r="E9" s="8">
        <f t="shared" ref="E9:E13" si="0">1-D9</f>
        <v>0.94</v>
      </c>
      <c r="G9" s="7" t="s">
        <v>20</v>
      </c>
      <c r="H9" s="8">
        <v>0.3</v>
      </c>
      <c r="I9" s="8">
        <f t="shared" ref="I9:I13" si="1">1-(H9+J9)</f>
        <v>0.65</v>
      </c>
      <c r="J9" s="8">
        <v>0.05</v>
      </c>
      <c r="L9" s="7" t="s">
        <v>20</v>
      </c>
      <c r="M9" s="8">
        <v>0.39</v>
      </c>
      <c r="N9" s="8">
        <f t="shared" ref="N9:N13" si="2">1-M9</f>
        <v>0.61</v>
      </c>
    </row>
    <row r="10" spans="3:14" x14ac:dyDescent="0.25">
      <c r="C10" s="7" t="s">
        <v>97</v>
      </c>
      <c r="D10" s="8">
        <v>0.33</v>
      </c>
      <c r="E10" s="8">
        <f t="shared" si="0"/>
        <v>0.66999999999999993</v>
      </c>
      <c r="G10" s="7" t="s">
        <v>97</v>
      </c>
      <c r="H10" s="8">
        <v>0.72</v>
      </c>
      <c r="I10" s="8">
        <f t="shared" si="1"/>
        <v>0.28000000000000003</v>
      </c>
      <c r="J10" s="8">
        <v>0</v>
      </c>
      <c r="L10" s="7" t="s">
        <v>97</v>
      </c>
      <c r="M10" s="8">
        <v>0.42</v>
      </c>
      <c r="N10" s="8">
        <f t="shared" si="2"/>
        <v>0.58000000000000007</v>
      </c>
    </row>
    <row r="11" spans="3:14" x14ac:dyDescent="0.25">
      <c r="C11" s="7" t="s">
        <v>98</v>
      </c>
      <c r="D11" s="8">
        <v>0.12</v>
      </c>
      <c r="E11" s="8">
        <f t="shared" si="0"/>
        <v>0.88</v>
      </c>
      <c r="G11" s="7" t="s">
        <v>98</v>
      </c>
      <c r="H11" s="8">
        <v>0.56000000000000005</v>
      </c>
      <c r="I11" s="8">
        <f t="shared" si="1"/>
        <v>0.41999999999999993</v>
      </c>
      <c r="J11" s="8">
        <v>0.02</v>
      </c>
      <c r="L11" s="7" t="s">
        <v>98</v>
      </c>
      <c r="M11" s="8">
        <v>0.59</v>
      </c>
      <c r="N11" s="8">
        <f t="shared" si="2"/>
        <v>0.41000000000000003</v>
      </c>
    </row>
    <row r="12" spans="3:14" x14ac:dyDescent="0.25">
      <c r="C12" s="7" t="s">
        <v>99</v>
      </c>
      <c r="D12" s="8">
        <v>0.39</v>
      </c>
      <c r="E12" s="8">
        <f t="shared" si="0"/>
        <v>0.61</v>
      </c>
      <c r="G12" s="7" t="s">
        <v>99</v>
      </c>
      <c r="H12" s="8">
        <v>0.71</v>
      </c>
      <c r="I12" s="8">
        <f t="shared" si="1"/>
        <v>0.28000000000000003</v>
      </c>
      <c r="J12" s="8">
        <v>0.01</v>
      </c>
      <c r="L12" s="7" t="s">
        <v>99</v>
      </c>
      <c r="M12" s="8">
        <v>0.38</v>
      </c>
      <c r="N12" s="8">
        <f t="shared" si="2"/>
        <v>0.62</v>
      </c>
    </row>
    <row r="13" spans="3:14" x14ac:dyDescent="0.25">
      <c r="C13" s="7" t="s">
        <v>101</v>
      </c>
      <c r="D13" s="8">
        <v>0.1</v>
      </c>
      <c r="E13" s="8">
        <f t="shared" si="0"/>
        <v>0.9</v>
      </c>
      <c r="G13" s="7" t="s">
        <v>101</v>
      </c>
      <c r="H13" s="8">
        <v>0.52</v>
      </c>
      <c r="I13" s="8">
        <f t="shared" si="1"/>
        <v>0.47</v>
      </c>
      <c r="J13" s="8">
        <v>0.01</v>
      </c>
      <c r="L13" s="7" t="s">
        <v>101</v>
      </c>
      <c r="M13" s="8">
        <v>0.47</v>
      </c>
      <c r="N13" s="8">
        <f t="shared" si="2"/>
        <v>0.53</v>
      </c>
    </row>
    <row r="15" spans="3:14" x14ac:dyDescent="0.25">
      <c r="C15" s="38" t="s">
        <v>108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</row>
    <row r="16" spans="3:14" x14ac:dyDescent="0.25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3:14" x14ac:dyDescent="0.25">
      <c r="C17" s="39" t="s">
        <v>102</v>
      </c>
      <c r="D17" s="39"/>
      <c r="E17" s="39"/>
      <c r="G17" s="39" t="s">
        <v>103</v>
      </c>
      <c r="H17" s="39"/>
      <c r="I17" s="39"/>
      <c r="J17" s="39"/>
      <c r="L17" s="39" t="s">
        <v>64</v>
      </c>
      <c r="M17" s="39"/>
      <c r="N17" s="39"/>
    </row>
    <row r="18" spans="3:14" x14ac:dyDescent="0.25">
      <c r="C18" s="7" t="s">
        <v>85</v>
      </c>
      <c r="D18" s="5" t="s">
        <v>67</v>
      </c>
      <c r="E18" s="5" t="s">
        <v>66</v>
      </c>
      <c r="G18" s="7" t="s">
        <v>85</v>
      </c>
      <c r="H18" s="5" t="s">
        <v>104</v>
      </c>
      <c r="I18" s="5" t="s">
        <v>105</v>
      </c>
      <c r="J18" s="5" t="s">
        <v>106</v>
      </c>
      <c r="L18" s="7" t="s">
        <v>85</v>
      </c>
      <c r="M18" s="5" t="s">
        <v>104</v>
      </c>
      <c r="N18" s="5" t="s">
        <v>105</v>
      </c>
    </row>
    <row r="19" spans="3:14" x14ac:dyDescent="0.25">
      <c r="C19" s="7" t="s">
        <v>92</v>
      </c>
      <c r="D19" s="8">
        <v>0.19</v>
      </c>
      <c r="E19" s="8">
        <f>1-D19</f>
        <v>0.81</v>
      </c>
      <c r="G19" s="7" t="s">
        <v>92</v>
      </c>
      <c r="H19" s="8">
        <v>0.65</v>
      </c>
      <c r="I19" s="8">
        <f>1-(H19+J19)</f>
        <v>0.31999999999999995</v>
      </c>
      <c r="J19" s="8">
        <v>0.03</v>
      </c>
      <c r="L19" s="7" t="s">
        <v>92</v>
      </c>
      <c r="M19" s="8">
        <v>0.73</v>
      </c>
      <c r="N19" s="8">
        <f t="shared" ref="N19:N24" si="3">1-M19</f>
        <v>0.27</v>
      </c>
    </row>
    <row r="20" spans="3:14" x14ac:dyDescent="0.25">
      <c r="C20" s="7" t="s">
        <v>20</v>
      </c>
      <c r="D20" s="8">
        <v>0.01</v>
      </c>
      <c r="E20" s="8">
        <f t="shared" ref="E20:E24" si="4">1-D20</f>
        <v>0.99</v>
      </c>
      <c r="G20" s="7" t="s">
        <v>20</v>
      </c>
      <c r="H20" s="8">
        <v>0.09</v>
      </c>
      <c r="I20" s="8">
        <f t="shared" ref="I20:I24" si="5">1-(H20+J20)</f>
        <v>0.83000000000000007</v>
      </c>
      <c r="J20" s="8">
        <v>0.08</v>
      </c>
      <c r="L20" s="7" t="s">
        <v>20</v>
      </c>
      <c r="M20" s="8">
        <v>0.8</v>
      </c>
      <c r="N20" s="8">
        <f t="shared" si="3"/>
        <v>0.19999999999999996</v>
      </c>
    </row>
    <row r="21" spans="3:14" x14ac:dyDescent="0.25">
      <c r="C21" s="7" t="s">
        <v>97</v>
      </c>
      <c r="D21" s="8">
        <v>0.25</v>
      </c>
      <c r="E21" s="8">
        <f t="shared" si="4"/>
        <v>0.75</v>
      </c>
      <c r="G21" s="7" t="s">
        <v>97</v>
      </c>
      <c r="H21" s="8">
        <v>0.85</v>
      </c>
      <c r="I21" s="8">
        <f t="shared" ref="I21" si="6">1-(H21+J21)</f>
        <v>0.13</v>
      </c>
      <c r="J21" s="8">
        <v>0.02</v>
      </c>
      <c r="L21" s="7" t="s">
        <v>97</v>
      </c>
      <c r="M21" s="8">
        <v>0.68</v>
      </c>
      <c r="N21" s="8">
        <f t="shared" si="3"/>
        <v>0.31999999999999995</v>
      </c>
    </row>
    <row r="22" spans="3:14" x14ac:dyDescent="0.25">
      <c r="C22" s="7" t="s">
        <v>98</v>
      </c>
      <c r="D22" s="8">
        <v>0.1</v>
      </c>
      <c r="E22" s="8">
        <f t="shared" si="4"/>
        <v>0.9</v>
      </c>
      <c r="G22" s="7" t="s">
        <v>98</v>
      </c>
      <c r="H22" s="8">
        <v>0.49</v>
      </c>
      <c r="I22" s="8">
        <f t="shared" si="5"/>
        <v>0.5</v>
      </c>
      <c r="J22" s="8">
        <v>0.01</v>
      </c>
      <c r="L22" s="7" t="s">
        <v>98</v>
      </c>
      <c r="M22" s="8">
        <v>0.8</v>
      </c>
      <c r="N22" s="8">
        <f t="shared" si="3"/>
        <v>0.19999999999999996</v>
      </c>
    </row>
    <row r="23" spans="3:14" x14ac:dyDescent="0.25">
      <c r="C23" s="7" t="s">
        <v>99</v>
      </c>
      <c r="D23" s="8">
        <v>0.49</v>
      </c>
      <c r="E23" s="8">
        <f t="shared" si="4"/>
        <v>0.51</v>
      </c>
      <c r="G23" s="7" t="s">
        <v>99</v>
      </c>
      <c r="H23" s="8">
        <v>0.85</v>
      </c>
      <c r="I23" s="8">
        <f t="shared" si="5"/>
        <v>0.14000000000000001</v>
      </c>
      <c r="J23" s="8">
        <v>0.01</v>
      </c>
      <c r="L23" s="7" t="s">
        <v>99</v>
      </c>
      <c r="M23" s="8">
        <v>0.44</v>
      </c>
      <c r="N23" s="8">
        <f t="shared" si="3"/>
        <v>0.56000000000000005</v>
      </c>
    </row>
    <row r="24" spans="3:14" x14ac:dyDescent="0.25">
      <c r="C24" s="7" t="s">
        <v>101</v>
      </c>
      <c r="D24" s="8">
        <v>0.05</v>
      </c>
      <c r="E24" s="8">
        <f t="shared" si="4"/>
        <v>0.95</v>
      </c>
      <c r="G24" s="7" t="s">
        <v>101</v>
      </c>
      <c r="H24" s="8">
        <v>0.56999999999999995</v>
      </c>
      <c r="I24" s="8">
        <f t="shared" si="5"/>
        <v>0.41000000000000003</v>
      </c>
      <c r="J24" s="8">
        <v>0.02</v>
      </c>
      <c r="L24" s="7" t="s">
        <v>101</v>
      </c>
      <c r="M24" s="8">
        <v>0.83</v>
      </c>
      <c r="N24" s="8">
        <f t="shared" si="3"/>
        <v>0.17000000000000004</v>
      </c>
    </row>
    <row r="27" spans="3:14" x14ac:dyDescent="0.25">
      <c r="F27" s="38" t="s">
        <v>8</v>
      </c>
      <c r="G27" s="38"/>
      <c r="H27" s="38"/>
      <c r="I27" s="38"/>
      <c r="J27" s="38"/>
      <c r="K27" s="38"/>
    </row>
    <row r="28" spans="3:14" x14ac:dyDescent="0.25">
      <c r="F28" s="38"/>
      <c r="G28" s="38"/>
      <c r="H28" s="38"/>
      <c r="I28" s="38"/>
      <c r="J28" s="38"/>
      <c r="K28" s="38"/>
    </row>
    <row r="30" spans="3:14" x14ac:dyDescent="0.25">
      <c r="C30" s="38" t="s">
        <v>107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3:14" x14ac:dyDescent="0.25"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3:14" x14ac:dyDescent="0.25">
      <c r="C32" s="39" t="s">
        <v>102</v>
      </c>
      <c r="D32" s="39"/>
      <c r="E32" s="39"/>
      <c r="G32" s="39" t="s">
        <v>103</v>
      </c>
      <c r="H32" s="39"/>
      <c r="I32" s="39"/>
      <c r="J32" s="39"/>
      <c r="L32" s="39" t="s">
        <v>64</v>
      </c>
      <c r="M32" s="39"/>
      <c r="N32" s="39"/>
    </row>
    <row r="33" spans="3:14" x14ac:dyDescent="0.25">
      <c r="C33" s="7" t="s">
        <v>85</v>
      </c>
      <c r="D33" s="5" t="s">
        <v>67</v>
      </c>
      <c r="E33" s="5" t="s">
        <v>66</v>
      </c>
      <c r="G33" s="7" t="s">
        <v>85</v>
      </c>
      <c r="H33" s="5" t="s">
        <v>104</v>
      </c>
      <c r="I33" s="5" t="s">
        <v>105</v>
      </c>
      <c r="J33" s="5" t="s">
        <v>106</v>
      </c>
      <c r="L33" s="7" t="s">
        <v>85</v>
      </c>
      <c r="M33" s="5" t="s">
        <v>104</v>
      </c>
      <c r="N33" s="5" t="s">
        <v>105</v>
      </c>
    </row>
    <row r="34" spans="3:14" x14ac:dyDescent="0.25">
      <c r="C34" s="7" t="s">
        <v>10</v>
      </c>
      <c r="D34" s="8">
        <v>0.52600000000000002</v>
      </c>
      <c r="E34" s="8">
        <f>1-D34</f>
        <v>0.47399999999999998</v>
      </c>
      <c r="G34" s="7" t="s">
        <v>10</v>
      </c>
      <c r="H34" s="8">
        <v>0.71799999999999997</v>
      </c>
      <c r="I34" s="8">
        <f>1-(H34+J34)</f>
        <v>0.28200000000000003</v>
      </c>
      <c r="J34" s="8">
        <v>0</v>
      </c>
      <c r="L34" s="7" t="s">
        <v>10</v>
      </c>
      <c r="M34" s="4" t="s">
        <v>95</v>
      </c>
      <c r="N34" s="4" t="s">
        <v>95</v>
      </c>
    </row>
    <row r="35" spans="3:14" x14ac:dyDescent="0.25">
      <c r="C35" s="7" t="s">
        <v>87</v>
      </c>
      <c r="D35" s="8">
        <v>0.35</v>
      </c>
      <c r="E35" s="8">
        <f t="shared" ref="E35:E43" si="7">1-D35</f>
        <v>0.65</v>
      </c>
      <c r="G35" s="7" t="s">
        <v>87</v>
      </c>
      <c r="H35" s="8">
        <v>0.54400000000000004</v>
      </c>
      <c r="I35" s="8">
        <f t="shared" ref="I35:I36" si="8">1-(H35+J35)</f>
        <v>0.45599999999999996</v>
      </c>
      <c r="J35" s="8">
        <v>0</v>
      </c>
      <c r="L35" s="7" t="s">
        <v>87</v>
      </c>
      <c r="M35" s="4" t="s">
        <v>95</v>
      </c>
      <c r="N35" s="4" t="s">
        <v>95</v>
      </c>
    </row>
    <row r="36" spans="3:14" x14ac:dyDescent="0.25">
      <c r="C36" s="7" t="s">
        <v>117</v>
      </c>
      <c r="D36" s="8">
        <v>0.5</v>
      </c>
      <c r="E36" s="8">
        <f t="shared" si="7"/>
        <v>0.5</v>
      </c>
      <c r="G36" s="7" t="s">
        <v>117</v>
      </c>
      <c r="H36" s="8">
        <v>0.432</v>
      </c>
      <c r="I36" s="8">
        <f t="shared" si="8"/>
        <v>0.56800000000000006</v>
      </c>
      <c r="J36" s="8">
        <v>0</v>
      </c>
      <c r="L36" s="7" t="s">
        <v>117</v>
      </c>
      <c r="M36" s="4" t="s">
        <v>95</v>
      </c>
      <c r="N36" s="4" t="s">
        <v>95</v>
      </c>
    </row>
    <row r="37" spans="3:14" x14ac:dyDescent="0.25">
      <c r="C37" s="7" t="s">
        <v>16</v>
      </c>
      <c r="D37" s="8">
        <v>0.25</v>
      </c>
      <c r="E37" s="8">
        <f t="shared" si="7"/>
        <v>0.75</v>
      </c>
      <c r="G37" s="7" t="s">
        <v>16</v>
      </c>
      <c r="H37" s="8">
        <v>0.5</v>
      </c>
      <c r="I37" s="8">
        <f t="shared" ref="I37:I44" si="9">1-(H37+J37)</f>
        <v>0.5</v>
      </c>
      <c r="J37" s="8">
        <v>0</v>
      </c>
      <c r="L37" s="7" t="s">
        <v>16</v>
      </c>
      <c r="M37" s="4" t="s">
        <v>95</v>
      </c>
      <c r="N37" s="4" t="s">
        <v>95</v>
      </c>
    </row>
    <row r="38" spans="3:14" x14ac:dyDescent="0.25">
      <c r="C38" s="7" t="s">
        <v>13</v>
      </c>
      <c r="D38" s="8">
        <v>0.36699999999999999</v>
      </c>
      <c r="E38" s="8">
        <f t="shared" si="7"/>
        <v>0.63300000000000001</v>
      </c>
      <c r="G38" s="7" t="s">
        <v>13</v>
      </c>
      <c r="H38" s="8">
        <v>0.46700000000000003</v>
      </c>
      <c r="I38" s="8">
        <f t="shared" si="9"/>
        <v>0.53299999999999992</v>
      </c>
      <c r="J38" s="8">
        <v>0</v>
      </c>
      <c r="L38" s="7" t="s">
        <v>13</v>
      </c>
      <c r="M38" s="4" t="s">
        <v>95</v>
      </c>
      <c r="N38" s="4" t="s">
        <v>95</v>
      </c>
    </row>
    <row r="39" spans="3:14" x14ac:dyDescent="0.25">
      <c r="C39" s="7" t="s">
        <v>8</v>
      </c>
      <c r="D39" s="8">
        <v>0.13539999999999999</v>
      </c>
      <c r="E39" s="8">
        <f t="shared" si="7"/>
        <v>0.86460000000000004</v>
      </c>
      <c r="G39" s="7" t="s">
        <v>8</v>
      </c>
      <c r="H39" s="8">
        <v>0.27600000000000002</v>
      </c>
      <c r="I39" s="8">
        <f t="shared" si="9"/>
        <v>0.67399999999999993</v>
      </c>
      <c r="J39" s="8">
        <v>0.05</v>
      </c>
      <c r="L39" s="7" t="s">
        <v>8</v>
      </c>
      <c r="M39" s="4" t="s">
        <v>95</v>
      </c>
      <c r="N39" s="4" t="s">
        <v>95</v>
      </c>
    </row>
    <row r="40" spans="3:14" x14ac:dyDescent="0.25">
      <c r="C40" s="7" t="s">
        <v>11</v>
      </c>
      <c r="D40" s="10">
        <v>0.44900000000000001</v>
      </c>
      <c r="E40" s="8">
        <f t="shared" si="7"/>
        <v>0.55099999999999993</v>
      </c>
      <c r="G40" s="7" t="s">
        <v>11</v>
      </c>
      <c r="H40" s="10">
        <v>0.59</v>
      </c>
      <c r="I40" s="10">
        <f t="shared" si="9"/>
        <v>0.41000000000000003</v>
      </c>
      <c r="J40" s="10">
        <v>0</v>
      </c>
      <c r="L40" s="7" t="s">
        <v>11</v>
      </c>
      <c r="M40" s="4" t="s">
        <v>95</v>
      </c>
      <c r="N40" s="4" t="s">
        <v>95</v>
      </c>
    </row>
    <row r="41" spans="3:14" x14ac:dyDescent="0.25">
      <c r="C41" s="7" t="s">
        <v>15</v>
      </c>
      <c r="D41" s="10">
        <v>0.69599999999999995</v>
      </c>
      <c r="E41" s="8">
        <f t="shared" si="7"/>
        <v>0.30400000000000005</v>
      </c>
      <c r="G41" s="7" t="s">
        <v>15</v>
      </c>
      <c r="H41" s="10">
        <v>0.52200000000000002</v>
      </c>
      <c r="I41" s="10">
        <f t="shared" si="9"/>
        <v>0.47799999999999998</v>
      </c>
      <c r="J41" s="10">
        <v>0</v>
      </c>
      <c r="L41" s="7" t="s">
        <v>15</v>
      </c>
      <c r="M41" s="4" t="s">
        <v>95</v>
      </c>
      <c r="N41" s="4" t="s">
        <v>95</v>
      </c>
    </row>
    <row r="42" spans="3:14" x14ac:dyDescent="0.25">
      <c r="C42" s="7" t="s">
        <v>14</v>
      </c>
      <c r="D42" s="10">
        <v>0.80800000000000005</v>
      </c>
      <c r="E42" s="8">
        <f t="shared" si="7"/>
        <v>0.19199999999999995</v>
      </c>
      <c r="G42" s="7" t="s">
        <v>14</v>
      </c>
      <c r="H42" s="10">
        <v>0.5</v>
      </c>
      <c r="I42" s="10">
        <f t="shared" si="9"/>
        <v>0.5</v>
      </c>
      <c r="J42" s="10">
        <v>0</v>
      </c>
      <c r="L42" s="7" t="s">
        <v>14</v>
      </c>
      <c r="M42" s="4" t="s">
        <v>95</v>
      </c>
      <c r="N42" s="4" t="s">
        <v>95</v>
      </c>
    </row>
    <row r="43" spans="3:14" x14ac:dyDescent="0.25">
      <c r="C43" s="7" t="s">
        <v>9</v>
      </c>
      <c r="D43" s="10">
        <v>0.47399999999999998</v>
      </c>
      <c r="E43" s="8">
        <f t="shared" si="7"/>
        <v>0.52600000000000002</v>
      </c>
      <c r="G43" s="7" t="s">
        <v>9</v>
      </c>
      <c r="H43" s="10">
        <v>0.75900000000000001</v>
      </c>
      <c r="I43" s="10">
        <f t="shared" si="9"/>
        <v>0.24099999999999999</v>
      </c>
      <c r="J43" s="10">
        <v>0</v>
      </c>
      <c r="L43" s="7" t="s">
        <v>9</v>
      </c>
      <c r="M43" s="4" t="s">
        <v>95</v>
      </c>
      <c r="N43" s="4" t="s">
        <v>95</v>
      </c>
    </row>
    <row r="44" spans="3:14" x14ac:dyDescent="0.25">
      <c r="C44" s="7" t="s">
        <v>118</v>
      </c>
      <c r="D44" s="4">
        <v>76.900000000000006</v>
      </c>
      <c r="E44" s="4" t="s">
        <v>95</v>
      </c>
      <c r="G44" s="7" t="s">
        <v>118</v>
      </c>
      <c r="H44" s="13">
        <v>0.76900000000000002</v>
      </c>
      <c r="I44" s="10">
        <f t="shared" si="9"/>
        <v>0.23099999999999998</v>
      </c>
      <c r="J44" s="10">
        <v>0</v>
      </c>
      <c r="L44" s="7" t="s">
        <v>118</v>
      </c>
      <c r="M44" s="4" t="s">
        <v>95</v>
      </c>
      <c r="N44" s="4" t="s">
        <v>95</v>
      </c>
    </row>
    <row r="45" spans="3:14" x14ac:dyDescent="0.25">
      <c r="C45" s="7" t="s">
        <v>17</v>
      </c>
      <c r="D45" s="10">
        <v>1</v>
      </c>
      <c r="E45" s="11">
        <v>0</v>
      </c>
      <c r="G45" s="7" t="s">
        <v>17</v>
      </c>
      <c r="H45" s="10">
        <v>1</v>
      </c>
      <c r="I45" s="13">
        <v>0</v>
      </c>
      <c r="J45" s="10">
        <v>0</v>
      </c>
      <c r="L45" s="7" t="s">
        <v>17</v>
      </c>
      <c r="M45" s="4" t="s">
        <v>95</v>
      </c>
      <c r="N45" s="4" t="s">
        <v>95</v>
      </c>
    </row>
    <row r="46" spans="3:14" x14ac:dyDescent="0.25">
      <c r="C46" s="7" t="s">
        <v>18</v>
      </c>
      <c r="D46" s="10">
        <v>1</v>
      </c>
      <c r="E46" s="11">
        <v>0</v>
      </c>
      <c r="G46" s="7" t="s">
        <v>18</v>
      </c>
      <c r="H46" s="10">
        <v>0.5</v>
      </c>
      <c r="I46" s="13">
        <v>0</v>
      </c>
      <c r="J46" s="10">
        <v>0</v>
      </c>
      <c r="L46" s="7"/>
      <c r="M46" s="4" t="s">
        <v>95</v>
      </c>
      <c r="N46" s="4" t="s">
        <v>95</v>
      </c>
    </row>
    <row r="47" spans="3:14" x14ac:dyDescent="0.25">
      <c r="C47" s="7" t="s">
        <v>119</v>
      </c>
      <c r="D47" s="10">
        <v>1</v>
      </c>
      <c r="E47" s="11">
        <v>0</v>
      </c>
      <c r="G47" s="7" t="s">
        <v>119</v>
      </c>
      <c r="H47" s="10">
        <v>1</v>
      </c>
      <c r="I47" s="13">
        <v>0</v>
      </c>
      <c r="J47" s="10">
        <v>0</v>
      </c>
      <c r="L47" s="7"/>
      <c r="M47" s="4" t="s">
        <v>95</v>
      </c>
      <c r="N47" s="4" t="s">
        <v>95</v>
      </c>
    </row>
    <row r="51" spans="3:14" x14ac:dyDescent="0.25">
      <c r="C51" s="38" t="s">
        <v>108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3:14" x14ac:dyDescent="0.25"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 spans="3:14" x14ac:dyDescent="0.25">
      <c r="C53" s="39" t="s">
        <v>102</v>
      </c>
      <c r="D53" s="39"/>
      <c r="E53" s="39"/>
      <c r="G53" s="39" t="s">
        <v>103</v>
      </c>
      <c r="H53" s="39"/>
      <c r="I53" s="39"/>
      <c r="J53" s="39"/>
      <c r="L53" s="39" t="s">
        <v>64</v>
      </c>
      <c r="M53" s="39"/>
      <c r="N53" s="39"/>
    </row>
    <row r="54" spans="3:14" x14ac:dyDescent="0.25">
      <c r="C54" s="7" t="s">
        <v>85</v>
      </c>
      <c r="D54" s="5" t="s">
        <v>67</v>
      </c>
      <c r="E54" s="5" t="s">
        <v>66</v>
      </c>
      <c r="G54" s="7" t="s">
        <v>85</v>
      </c>
      <c r="H54" s="5" t="s">
        <v>104</v>
      </c>
      <c r="I54" s="5" t="s">
        <v>105</v>
      </c>
      <c r="J54" s="5" t="s">
        <v>106</v>
      </c>
      <c r="L54" s="7" t="s">
        <v>85</v>
      </c>
      <c r="M54" s="5" t="s">
        <v>104</v>
      </c>
      <c r="N54" s="5" t="s">
        <v>105</v>
      </c>
    </row>
    <row r="55" spans="3:14" x14ac:dyDescent="0.25">
      <c r="C55" s="7" t="s">
        <v>10</v>
      </c>
      <c r="D55" s="8">
        <v>0.42899999999999999</v>
      </c>
      <c r="E55" s="8">
        <f>1-D55</f>
        <v>0.57099999999999995</v>
      </c>
      <c r="G55" s="7" t="s">
        <v>10</v>
      </c>
      <c r="H55" s="8">
        <v>0.71399999999999997</v>
      </c>
      <c r="I55" s="8">
        <f>1-(H55+J55)</f>
        <v>0.28600000000000003</v>
      </c>
      <c r="J55" s="8">
        <v>0</v>
      </c>
      <c r="L55" s="7" t="s">
        <v>10</v>
      </c>
      <c r="M55" s="4" t="s">
        <v>95</v>
      </c>
      <c r="N55" s="4" t="s">
        <v>95</v>
      </c>
    </row>
    <row r="56" spans="3:14" x14ac:dyDescent="0.25">
      <c r="C56" s="7" t="s">
        <v>87</v>
      </c>
      <c r="D56" s="8">
        <v>4.8000000000000001E-2</v>
      </c>
      <c r="E56" s="8">
        <f t="shared" ref="E56:E64" si="10">1-D56</f>
        <v>0.95199999999999996</v>
      </c>
      <c r="G56" s="7" t="s">
        <v>87</v>
      </c>
      <c r="H56" s="8">
        <v>0.81</v>
      </c>
      <c r="I56" s="8">
        <f t="shared" ref="I56:I64" si="11">1-(H56+J56)</f>
        <v>0.18999999999999995</v>
      </c>
      <c r="J56" s="8">
        <v>0</v>
      </c>
      <c r="L56" s="7" t="s">
        <v>87</v>
      </c>
      <c r="M56" s="4" t="s">
        <v>95</v>
      </c>
      <c r="N56" s="4" t="s">
        <v>95</v>
      </c>
    </row>
    <row r="57" spans="3:14" x14ac:dyDescent="0.25">
      <c r="C57" s="7" t="s">
        <v>117</v>
      </c>
      <c r="D57" s="8">
        <v>0.42899999999999999</v>
      </c>
      <c r="E57" s="8">
        <f t="shared" si="10"/>
        <v>0.57099999999999995</v>
      </c>
      <c r="G57" s="7" t="s">
        <v>117</v>
      </c>
      <c r="H57" s="8">
        <v>0.28599999999999998</v>
      </c>
      <c r="I57" s="8">
        <f t="shared" si="11"/>
        <v>0.71399999999999997</v>
      </c>
      <c r="J57" s="8">
        <v>0</v>
      </c>
      <c r="L57" s="7" t="s">
        <v>117</v>
      </c>
      <c r="M57" s="4" t="s">
        <v>95</v>
      </c>
      <c r="N57" s="4" t="s">
        <v>95</v>
      </c>
    </row>
    <row r="58" spans="3:14" x14ac:dyDescent="0.25">
      <c r="C58" s="7" t="s">
        <v>16</v>
      </c>
      <c r="D58" s="8">
        <v>0.25</v>
      </c>
      <c r="E58" s="8">
        <f t="shared" si="10"/>
        <v>0.75</v>
      </c>
      <c r="G58" s="7" t="s">
        <v>16</v>
      </c>
      <c r="H58" s="8">
        <v>0.75</v>
      </c>
      <c r="I58" s="8">
        <f t="shared" si="11"/>
        <v>0.25</v>
      </c>
      <c r="J58" s="8">
        <v>0</v>
      </c>
      <c r="L58" s="7" t="s">
        <v>16</v>
      </c>
      <c r="M58" s="4" t="s">
        <v>95</v>
      </c>
      <c r="N58" s="4" t="s">
        <v>95</v>
      </c>
    </row>
    <row r="59" spans="3:14" x14ac:dyDescent="0.25">
      <c r="C59" s="7" t="s">
        <v>13</v>
      </c>
      <c r="D59" s="8">
        <v>0.1</v>
      </c>
      <c r="E59" s="8">
        <f t="shared" si="10"/>
        <v>0.9</v>
      </c>
      <c r="G59" s="7" t="s">
        <v>13</v>
      </c>
      <c r="H59" s="8">
        <v>0.6</v>
      </c>
      <c r="I59" s="8">
        <f t="shared" si="11"/>
        <v>0.4</v>
      </c>
      <c r="J59" s="8">
        <v>0</v>
      </c>
      <c r="L59" s="7" t="s">
        <v>13</v>
      </c>
      <c r="M59" s="4" t="s">
        <v>95</v>
      </c>
      <c r="N59" s="4" t="s">
        <v>95</v>
      </c>
    </row>
    <row r="60" spans="3:14" x14ac:dyDescent="0.25">
      <c r="C60" s="7" t="s">
        <v>8</v>
      </c>
      <c r="D60" s="8">
        <v>1.2E-2</v>
      </c>
      <c r="E60" s="8">
        <f t="shared" si="10"/>
        <v>0.98799999999999999</v>
      </c>
      <c r="G60" s="7" t="s">
        <v>8</v>
      </c>
      <c r="H60" s="8">
        <v>0.18479999999999999</v>
      </c>
      <c r="I60" s="8">
        <f t="shared" si="11"/>
        <v>0.78620000000000001</v>
      </c>
      <c r="J60" s="8">
        <v>2.9000000000000001E-2</v>
      </c>
      <c r="L60" s="7" t="s">
        <v>8</v>
      </c>
      <c r="M60" s="4" t="s">
        <v>95</v>
      </c>
      <c r="N60" s="4" t="s">
        <v>95</v>
      </c>
    </row>
    <row r="61" spans="3:14" x14ac:dyDescent="0.25">
      <c r="C61" s="7" t="s">
        <v>11</v>
      </c>
      <c r="D61" s="10">
        <v>0.25</v>
      </c>
      <c r="E61" s="8">
        <f t="shared" si="10"/>
        <v>0.75</v>
      </c>
      <c r="G61" s="7" t="s">
        <v>11</v>
      </c>
      <c r="H61" s="10">
        <v>0.75</v>
      </c>
      <c r="I61" s="10">
        <f t="shared" si="11"/>
        <v>0.25</v>
      </c>
      <c r="J61" s="10">
        <v>0</v>
      </c>
      <c r="L61" s="7" t="s">
        <v>11</v>
      </c>
      <c r="M61" s="4" t="s">
        <v>95</v>
      </c>
      <c r="N61" s="4" t="s">
        <v>95</v>
      </c>
    </row>
    <row r="62" spans="3:14" x14ac:dyDescent="0.25">
      <c r="C62" s="7" t="s">
        <v>15</v>
      </c>
      <c r="D62" s="10">
        <v>0.4</v>
      </c>
      <c r="E62" s="8">
        <f t="shared" si="10"/>
        <v>0.6</v>
      </c>
      <c r="G62" s="7" t="s">
        <v>15</v>
      </c>
      <c r="H62" s="10">
        <v>0.6</v>
      </c>
      <c r="I62" s="10">
        <f t="shared" si="11"/>
        <v>0.4</v>
      </c>
      <c r="J62" s="10">
        <v>0</v>
      </c>
      <c r="L62" s="7" t="s">
        <v>15</v>
      </c>
      <c r="M62" s="4" t="s">
        <v>95</v>
      </c>
      <c r="N62" s="4" t="s">
        <v>95</v>
      </c>
    </row>
    <row r="63" spans="3:14" x14ac:dyDescent="0.25">
      <c r="C63" s="7" t="s">
        <v>14</v>
      </c>
      <c r="D63" s="10">
        <v>0.57100000000000006</v>
      </c>
      <c r="E63" s="8">
        <f t="shared" si="10"/>
        <v>0.42899999999999994</v>
      </c>
      <c r="G63" s="7" t="s">
        <v>14</v>
      </c>
      <c r="H63" s="10">
        <v>0.42899999999999999</v>
      </c>
      <c r="I63" s="10">
        <f t="shared" si="11"/>
        <v>0.57099999999999995</v>
      </c>
      <c r="J63" s="10">
        <v>0</v>
      </c>
      <c r="L63" s="7" t="s">
        <v>14</v>
      </c>
      <c r="M63" s="4" t="s">
        <v>95</v>
      </c>
      <c r="N63" s="4" t="s">
        <v>95</v>
      </c>
    </row>
    <row r="64" spans="3:14" x14ac:dyDescent="0.25">
      <c r="C64" s="7" t="s">
        <v>9</v>
      </c>
      <c r="D64" s="10">
        <v>0.13600000000000001</v>
      </c>
      <c r="E64" s="8">
        <f t="shared" si="10"/>
        <v>0.86399999999999999</v>
      </c>
      <c r="G64" s="7" t="s">
        <v>9</v>
      </c>
      <c r="H64" s="10">
        <v>0.5</v>
      </c>
      <c r="I64" s="10">
        <f t="shared" si="11"/>
        <v>0.5</v>
      </c>
      <c r="J64" s="10">
        <v>0</v>
      </c>
      <c r="L64" s="7" t="s">
        <v>9</v>
      </c>
      <c r="M64" s="4" t="s">
        <v>95</v>
      </c>
      <c r="N64" s="4" t="s">
        <v>95</v>
      </c>
    </row>
    <row r="65" spans="3:14" x14ac:dyDescent="0.25">
      <c r="C65" s="7" t="s">
        <v>118</v>
      </c>
      <c r="D65" s="4" t="s">
        <v>95</v>
      </c>
      <c r="E65" s="4" t="s">
        <v>95</v>
      </c>
      <c r="G65" s="7" t="s">
        <v>118</v>
      </c>
      <c r="H65" s="4" t="s">
        <v>95</v>
      </c>
      <c r="I65" s="4" t="s">
        <v>95</v>
      </c>
      <c r="J65" s="10">
        <v>0</v>
      </c>
      <c r="L65" s="7" t="s">
        <v>118</v>
      </c>
      <c r="M65" s="4" t="s">
        <v>95</v>
      </c>
      <c r="N65" s="4" t="s">
        <v>95</v>
      </c>
    </row>
    <row r="66" spans="3:14" x14ac:dyDescent="0.25">
      <c r="C66" s="7" t="s">
        <v>17</v>
      </c>
      <c r="D66" s="10">
        <v>1</v>
      </c>
      <c r="E66" s="11">
        <v>0</v>
      </c>
      <c r="G66" s="7" t="s">
        <v>17</v>
      </c>
      <c r="H66" s="10">
        <v>1</v>
      </c>
      <c r="I66" s="13">
        <v>0</v>
      </c>
      <c r="J66" s="10">
        <v>0</v>
      </c>
      <c r="L66" s="7" t="s">
        <v>17</v>
      </c>
      <c r="M66" s="4" t="s">
        <v>95</v>
      </c>
      <c r="N66" s="4" t="s">
        <v>95</v>
      </c>
    </row>
  </sheetData>
  <mergeCells count="18">
    <mergeCell ref="F1:K2"/>
    <mergeCell ref="F27:K28"/>
    <mergeCell ref="C30:N31"/>
    <mergeCell ref="C32:E32"/>
    <mergeCell ref="G32:J32"/>
    <mergeCell ref="L32:N32"/>
    <mergeCell ref="C17:E17"/>
    <mergeCell ref="G17:J17"/>
    <mergeCell ref="L17:N17"/>
    <mergeCell ref="C4:N5"/>
    <mergeCell ref="C15:N16"/>
    <mergeCell ref="C6:E6"/>
    <mergeCell ref="L6:N6"/>
    <mergeCell ref="G6:J6"/>
    <mergeCell ref="C51:N52"/>
    <mergeCell ref="C53:E53"/>
    <mergeCell ref="G53:J53"/>
    <mergeCell ref="L53:N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A384-81F4-4DF7-A85D-5D1746C2CDDA}">
  <dimension ref="B1:AE208"/>
  <sheetViews>
    <sheetView topLeftCell="D166" zoomScale="80" zoomScaleNormal="80" workbookViewId="0">
      <selection activeCell="S157" sqref="S157:T161"/>
    </sheetView>
  </sheetViews>
  <sheetFormatPr baseColWidth="10" defaultRowHeight="15" x14ac:dyDescent="0.25"/>
  <cols>
    <col min="3" max="3" width="13.28515625" bestFit="1" customWidth="1"/>
    <col min="10" max="10" width="13.28515625" bestFit="1" customWidth="1"/>
    <col min="17" max="17" width="13.140625" bestFit="1" customWidth="1"/>
    <col min="26" max="26" width="15" bestFit="1" customWidth="1"/>
  </cols>
  <sheetData>
    <row r="1" spans="2:31" ht="15" customHeight="1" x14ac:dyDescent="0.25">
      <c r="C1" s="45" t="s">
        <v>116</v>
      </c>
      <c r="D1" s="45"/>
      <c r="E1" s="45"/>
      <c r="F1" s="45"/>
      <c r="G1" s="45"/>
      <c r="H1" s="45"/>
      <c r="I1" s="45"/>
      <c r="J1" s="45"/>
      <c r="K1" s="45"/>
      <c r="L1" s="45"/>
      <c r="P1" s="45" t="s">
        <v>8</v>
      </c>
      <c r="Q1" s="45"/>
      <c r="R1" s="45"/>
      <c r="S1" s="45"/>
      <c r="T1" s="45"/>
      <c r="U1" s="45"/>
      <c r="V1" s="45"/>
      <c r="Y1" s="45" t="s">
        <v>61</v>
      </c>
      <c r="Z1" s="45"/>
      <c r="AA1" s="45"/>
      <c r="AB1" s="45"/>
      <c r="AC1" s="45"/>
      <c r="AD1" s="45"/>
      <c r="AE1" s="45"/>
    </row>
    <row r="2" spans="2:31" ht="15" customHeight="1" x14ac:dyDescent="0.25">
      <c r="C2" s="45"/>
      <c r="D2" s="45"/>
      <c r="E2" s="45"/>
      <c r="F2" s="45"/>
      <c r="G2" s="45"/>
      <c r="H2" s="45"/>
      <c r="I2" s="45"/>
      <c r="J2" s="45"/>
      <c r="K2" s="45"/>
      <c r="L2" s="45"/>
      <c r="P2" s="45"/>
      <c r="Q2" s="45"/>
      <c r="R2" s="45"/>
      <c r="S2" s="45"/>
      <c r="T2" s="45"/>
      <c r="U2" s="45"/>
      <c r="V2" s="45"/>
      <c r="Y2" s="45"/>
      <c r="Z2" s="45"/>
      <c r="AA2" s="45"/>
      <c r="AB2" s="45"/>
      <c r="AC2" s="45"/>
      <c r="AD2" s="45"/>
      <c r="AE2" s="45"/>
    </row>
    <row r="4" spans="2:31" x14ac:dyDescent="0.25">
      <c r="B4" s="6"/>
      <c r="C4" s="40" t="s">
        <v>96</v>
      </c>
      <c r="D4" s="40"/>
      <c r="E4" s="40"/>
      <c r="F4" s="40"/>
      <c r="I4" s="6"/>
      <c r="J4" s="40" t="s">
        <v>96</v>
      </c>
      <c r="K4" s="40"/>
      <c r="L4" s="40"/>
      <c r="M4" s="40"/>
      <c r="P4" s="6"/>
      <c r="Q4" s="40" t="s">
        <v>122</v>
      </c>
      <c r="R4" s="40"/>
      <c r="S4" s="40"/>
      <c r="T4" s="40"/>
      <c r="U4" s="40"/>
      <c r="V4" s="40"/>
      <c r="Y4" s="6"/>
      <c r="Z4" s="40" t="s">
        <v>96</v>
      </c>
      <c r="AA4" s="40"/>
      <c r="AB4" s="40"/>
      <c r="AC4" s="40"/>
      <c r="AD4" s="40"/>
      <c r="AE4" s="40"/>
    </row>
    <row r="5" spans="2:31" x14ac:dyDescent="0.25">
      <c r="B5" s="40" t="s">
        <v>94</v>
      </c>
      <c r="C5" s="40"/>
      <c r="D5" s="40"/>
      <c r="E5" s="40"/>
      <c r="F5" s="40"/>
      <c r="I5" s="40" t="s">
        <v>120</v>
      </c>
      <c r="J5" s="40"/>
      <c r="K5" s="40"/>
      <c r="L5" s="40"/>
      <c r="M5" s="40"/>
      <c r="P5" s="7"/>
      <c r="Q5" s="7" t="s">
        <v>85</v>
      </c>
      <c r="R5" s="41" t="s">
        <v>60</v>
      </c>
      <c r="S5" s="41"/>
      <c r="T5" s="41"/>
      <c r="U5" s="41"/>
      <c r="V5" s="41"/>
      <c r="Y5" s="7"/>
      <c r="Z5" s="7" t="s">
        <v>85</v>
      </c>
      <c r="AA5" s="41" t="s">
        <v>60</v>
      </c>
      <c r="AB5" s="41"/>
      <c r="AC5" s="41"/>
      <c r="AD5" s="41"/>
      <c r="AE5" s="41"/>
    </row>
    <row r="6" spans="2:31" x14ac:dyDescent="0.25">
      <c r="B6" s="7"/>
      <c r="C6" s="7" t="s">
        <v>85</v>
      </c>
      <c r="D6" s="46" t="s">
        <v>60</v>
      </c>
      <c r="E6" s="47"/>
      <c r="F6" s="48"/>
      <c r="I6" s="7"/>
      <c r="J6" s="7" t="s">
        <v>85</v>
      </c>
      <c r="K6" s="46" t="s">
        <v>60</v>
      </c>
      <c r="L6" s="47"/>
      <c r="M6" s="48"/>
      <c r="P6" s="42" t="s">
        <v>59</v>
      </c>
      <c r="Q6" s="7" t="s">
        <v>10</v>
      </c>
      <c r="R6" s="5">
        <v>1</v>
      </c>
      <c r="S6" s="5">
        <v>2</v>
      </c>
      <c r="T6" s="5">
        <v>3</v>
      </c>
      <c r="U6" s="5">
        <v>4</v>
      </c>
      <c r="V6" s="5">
        <v>5</v>
      </c>
      <c r="Y6" s="42" t="s">
        <v>59</v>
      </c>
      <c r="Z6" s="7" t="s">
        <v>52</v>
      </c>
      <c r="AA6" s="5">
        <v>1</v>
      </c>
      <c r="AB6" s="5">
        <v>2</v>
      </c>
      <c r="AC6" s="5">
        <v>3</v>
      </c>
      <c r="AD6" s="5">
        <v>4</v>
      </c>
      <c r="AE6" s="5">
        <v>5</v>
      </c>
    </row>
    <row r="7" spans="2:31" x14ac:dyDescent="0.25">
      <c r="B7" s="42" t="s">
        <v>59</v>
      </c>
      <c r="C7" s="7" t="s">
        <v>92</v>
      </c>
      <c r="D7" s="5">
        <v>1</v>
      </c>
      <c r="E7" s="5">
        <v>2</v>
      </c>
      <c r="F7" s="5" t="s">
        <v>93</v>
      </c>
      <c r="I7" s="42" t="s">
        <v>59</v>
      </c>
      <c r="J7" s="7" t="s">
        <v>92</v>
      </c>
      <c r="K7" s="5">
        <v>1</v>
      </c>
      <c r="L7" s="5">
        <v>2</v>
      </c>
      <c r="M7" s="5" t="s">
        <v>93</v>
      </c>
      <c r="P7" s="43"/>
      <c r="Q7" s="5">
        <v>1</v>
      </c>
      <c r="R7" s="25">
        <v>17.600000000000001</v>
      </c>
      <c r="S7" s="25">
        <v>18.2</v>
      </c>
      <c r="T7" s="25">
        <v>12.5</v>
      </c>
      <c r="U7" s="25" t="s">
        <v>95</v>
      </c>
      <c r="V7" s="25" t="s">
        <v>95</v>
      </c>
      <c r="Y7" s="43"/>
      <c r="Z7" s="5">
        <v>1</v>
      </c>
      <c r="AA7" s="25">
        <v>23.2309730439151</v>
      </c>
      <c r="AB7" s="25">
        <v>25.628930817610058</v>
      </c>
      <c r="AC7" s="25" t="s">
        <v>95</v>
      </c>
      <c r="AD7" s="4" t="s">
        <v>95</v>
      </c>
      <c r="AE7" s="4" t="s">
        <v>95</v>
      </c>
    </row>
    <row r="8" spans="2:31" ht="15" customHeight="1" x14ac:dyDescent="0.25">
      <c r="B8" s="43"/>
      <c r="C8" s="5">
        <v>1</v>
      </c>
      <c r="D8" s="4">
        <v>16</v>
      </c>
      <c r="E8" s="4" t="s">
        <v>95</v>
      </c>
      <c r="F8" s="4" t="s">
        <v>95</v>
      </c>
      <c r="I8" s="43"/>
      <c r="J8" s="5">
        <v>1</v>
      </c>
      <c r="K8" s="4">
        <v>18</v>
      </c>
      <c r="L8" s="4">
        <v>13</v>
      </c>
      <c r="M8" s="4" t="s">
        <v>95</v>
      </c>
      <c r="P8" s="43"/>
      <c r="Q8" s="5">
        <v>2</v>
      </c>
      <c r="R8" s="25" t="s">
        <v>95</v>
      </c>
      <c r="S8" s="25" t="s">
        <v>95</v>
      </c>
      <c r="T8" s="25" t="s">
        <v>95</v>
      </c>
      <c r="U8" s="25" t="s">
        <v>95</v>
      </c>
      <c r="V8" s="25" t="s">
        <v>95</v>
      </c>
      <c r="Y8" s="43"/>
      <c r="Z8" s="5">
        <v>2</v>
      </c>
      <c r="AA8" s="25">
        <v>25.5180131398455</v>
      </c>
      <c r="AB8" s="25">
        <v>24.005116959064321</v>
      </c>
      <c r="AC8" s="25" t="s">
        <v>95</v>
      </c>
      <c r="AD8" s="4" t="s">
        <v>95</v>
      </c>
      <c r="AE8" s="4" t="s">
        <v>95</v>
      </c>
    </row>
    <row r="9" spans="2:31" x14ac:dyDescent="0.25">
      <c r="B9" s="43"/>
      <c r="C9" s="5">
        <v>2</v>
      </c>
      <c r="D9" s="4">
        <v>21</v>
      </c>
      <c r="E9" s="4">
        <v>15</v>
      </c>
      <c r="F9" s="4" t="s">
        <v>95</v>
      </c>
      <c r="I9" s="43"/>
      <c r="J9" s="5">
        <v>2</v>
      </c>
      <c r="K9" s="4">
        <v>18</v>
      </c>
      <c r="L9" s="4">
        <v>21</v>
      </c>
      <c r="M9" s="4" t="s">
        <v>95</v>
      </c>
      <c r="P9" s="43"/>
      <c r="Q9" s="5">
        <v>3</v>
      </c>
      <c r="R9" s="25">
        <v>12.5</v>
      </c>
      <c r="S9" s="25">
        <v>29.95</v>
      </c>
      <c r="T9" s="25">
        <v>28.19</v>
      </c>
      <c r="U9" s="25" t="s">
        <v>95</v>
      </c>
      <c r="V9" s="25" t="s">
        <v>95</v>
      </c>
      <c r="Y9" s="43"/>
      <c r="Z9" s="5">
        <v>3</v>
      </c>
      <c r="AA9" s="25">
        <v>17.2</v>
      </c>
      <c r="AB9" s="25">
        <v>19.074074074074069</v>
      </c>
      <c r="AC9" s="25" t="s">
        <v>95</v>
      </c>
      <c r="AD9" s="4" t="s">
        <v>95</v>
      </c>
      <c r="AE9" s="4" t="s">
        <v>95</v>
      </c>
    </row>
    <row r="10" spans="2:31" x14ac:dyDescent="0.25">
      <c r="B10" s="43"/>
      <c r="C10" s="5">
        <v>3</v>
      </c>
      <c r="D10" s="4">
        <v>18</v>
      </c>
      <c r="E10" s="4">
        <v>28</v>
      </c>
      <c r="F10" s="4" t="s">
        <v>95</v>
      </c>
      <c r="I10" s="43"/>
      <c r="J10" s="5">
        <v>3</v>
      </c>
      <c r="K10" s="4">
        <v>14</v>
      </c>
      <c r="L10" s="4">
        <v>23</v>
      </c>
      <c r="M10" s="4">
        <v>28</v>
      </c>
      <c r="P10" s="43"/>
      <c r="Q10" s="5">
        <v>4</v>
      </c>
      <c r="R10" s="25">
        <v>8.7799999999999994</v>
      </c>
      <c r="S10" s="25">
        <v>12.49</v>
      </c>
      <c r="T10" s="25">
        <v>14.8</v>
      </c>
      <c r="U10" s="25">
        <v>11.6</v>
      </c>
      <c r="V10" s="25" t="s">
        <v>95</v>
      </c>
      <c r="Y10" s="43"/>
      <c r="Z10" s="5">
        <v>4</v>
      </c>
      <c r="AA10" s="25" t="s">
        <v>95</v>
      </c>
      <c r="AB10" s="25" t="s">
        <v>95</v>
      </c>
      <c r="AC10" s="25">
        <v>20.75988700564972</v>
      </c>
      <c r="AD10" s="4" t="s">
        <v>95</v>
      </c>
      <c r="AE10" s="4" t="s">
        <v>95</v>
      </c>
    </row>
    <row r="11" spans="2:31" x14ac:dyDescent="0.25">
      <c r="B11" s="43"/>
      <c r="C11" s="5">
        <v>4</v>
      </c>
      <c r="D11" s="4" t="s">
        <v>95</v>
      </c>
      <c r="E11" s="4" t="s">
        <v>95</v>
      </c>
      <c r="F11" s="4" t="s">
        <v>95</v>
      </c>
      <c r="I11" s="43"/>
      <c r="J11" s="5">
        <v>4</v>
      </c>
      <c r="K11" s="4" t="s">
        <v>95</v>
      </c>
      <c r="L11" s="4">
        <v>25</v>
      </c>
      <c r="M11" s="4">
        <v>17</v>
      </c>
      <c r="P11" s="43"/>
      <c r="Q11" s="5">
        <v>5</v>
      </c>
      <c r="R11" s="25" t="s">
        <v>95</v>
      </c>
      <c r="S11" s="25">
        <v>9.7799999999999994</v>
      </c>
      <c r="T11" s="25" t="s">
        <v>95</v>
      </c>
      <c r="U11" s="25" t="s">
        <v>95</v>
      </c>
      <c r="V11" s="25">
        <v>18.899999999999999</v>
      </c>
      <c r="Y11" s="43"/>
      <c r="Z11" s="5">
        <v>5</v>
      </c>
      <c r="AA11" s="25" t="s">
        <v>95</v>
      </c>
      <c r="AB11" s="25" t="s">
        <v>95</v>
      </c>
      <c r="AC11" s="25" t="s">
        <v>95</v>
      </c>
      <c r="AD11" s="4" t="s">
        <v>95</v>
      </c>
      <c r="AE11" s="4" t="s">
        <v>95</v>
      </c>
    </row>
    <row r="12" spans="2:31" x14ac:dyDescent="0.25">
      <c r="B12" s="43"/>
      <c r="C12" s="5">
        <v>5</v>
      </c>
      <c r="D12" s="4" t="s">
        <v>95</v>
      </c>
      <c r="E12" s="4" t="s">
        <v>95</v>
      </c>
      <c r="F12" s="4" t="s">
        <v>95</v>
      </c>
      <c r="I12" s="43"/>
      <c r="J12" s="5">
        <v>5</v>
      </c>
      <c r="K12" s="4" t="s">
        <v>95</v>
      </c>
      <c r="L12" s="4" t="s">
        <v>95</v>
      </c>
      <c r="M12" s="4" t="s">
        <v>95</v>
      </c>
      <c r="P12" s="43"/>
      <c r="Q12" s="5">
        <v>6</v>
      </c>
      <c r="R12" s="25" t="s">
        <v>95</v>
      </c>
      <c r="S12" s="25" t="s">
        <v>95</v>
      </c>
      <c r="T12" s="25" t="s">
        <v>95</v>
      </c>
      <c r="U12" s="25" t="s">
        <v>95</v>
      </c>
      <c r="V12" s="25" t="s">
        <v>95</v>
      </c>
      <c r="Y12" s="43"/>
      <c r="Z12" s="5">
        <v>6</v>
      </c>
      <c r="AA12" s="4" t="s">
        <v>95</v>
      </c>
      <c r="AB12" s="4" t="s">
        <v>95</v>
      </c>
      <c r="AC12" s="4" t="s">
        <v>95</v>
      </c>
      <c r="AD12" s="4" t="s">
        <v>95</v>
      </c>
      <c r="AE12" s="4" t="s">
        <v>95</v>
      </c>
    </row>
    <row r="13" spans="2:31" x14ac:dyDescent="0.25">
      <c r="B13" s="43"/>
      <c r="C13" s="5">
        <v>6</v>
      </c>
      <c r="D13" s="4" t="s">
        <v>95</v>
      </c>
      <c r="E13" s="4" t="s">
        <v>95</v>
      </c>
      <c r="F13" s="4" t="s">
        <v>95</v>
      </c>
      <c r="I13" s="43"/>
      <c r="J13" s="5">
        <v>6</v>
      </c>
      <c r="K13" s="4" t="s">
        <v>95</v>
      </c>
      <c r="L13" s="4" t="s">
        <v>95</v>
      </c>
      <c r="M13" s="4" t="s">
        <v>95</v>
      </c>
      <c r="P13" s="43"/>
      <c r="Q13" s="5">
        <v>7</v>
      </c>
      <c r="R13" s="25" t="s">
        <v>95</v>
      </c>
      <c r="S13" s="25" t="s">
        <v>95</v>
      </c>
      <c r="T13" s="25" t="s">
        <v>95</v>
      </c>
      <c r="U13" s="25" t="s">
        <v>95</v>
      </c>
      <c r="V13" s="25" t="s">
        <v>95</v>
      </c>
      <c r="Y13" s="43"/>
      <c r="Z13" s="5">
        <v>7</v>
      </c>
      <c r="AA13" s="4" t="s">
        <v>95</v>
      </c>
      <c r="AB13" s="4" t="s">
        <v>95</v>
      </c>
      <c r="AC13" s="4" t="s">
        <v>95</v>
      </c>
      <c r="AD13" s="4" t="s">
        <v>95</v>
      </c>
      <c r="AE13" s="4" t="s">
        <v>95</v>
      </c>
    </row>
    <row r="14" spans="2:31" x14ac:dyDescent="0.25">
      <c r="B14" s="43"/>
      <c r="C14" s="5">
        <v>7</v>
      </c>
      <c r="D14" s="4" t="s">
        <v>95</v>
      </c>
      <c r="E14" s="4" t="s">
        <v>95</v>
      </c>
      <c r="F14" s="4" t="s">
        <v>95</v>
      </c>
      <c r="I14" s="43"/>
      <c r="J14" s="5">
        <v>7</v>
      </c>
      <c r="K14" s="4" t="s">
        <v>95</v>
      </c>
      <c r="L14" s="4" t="s">
        <v>95</v>
      </c>
      <c r="M14" s="4" t="s">
        <v>95</v>
      </c>
      <c r="P14" s="43"/>
      <c r="Q14" s="5">
        <v>8</v>
      </c>
      <c r="R14" s="25" t="s">
        <v>95</v>
      </c>
      <c r="S14" s="25" t="s">
        <v>95</v>
      </c>
      <c r="T14" s="25" t="s">
        <v>95</v>
      </c>
      <c r="U14" s="25" t="s">
        <v>95</v>
      </c>
      <c r="V14" s="25" t="s">
        <v>95</v>
      </c>
      <c r="Y14" s="43"/>
      <c r="Z14" s="5">
        <v>8</v>
      </c>
      <c r="AA14" s="4" t="s">
        <v>95</v>
      </c>
      <c r="AB14" s="4" t="s">
        <v>95</v>
      </c>
      <c r="AC14" s="4" t="s">
        <v>95</v>
      </c>
      <c r="AD14" s="4" t="s">
        <v>95</v>
      </c>
      <c r="AE14" s="4" t="s">
        <v>95</v>
      </c>
    </row>
    <row r="15" spans="2:31" x14ac:dyDescent="0.25">
      <c r="B15" s="43"/>
      <c r="C15" s="5">
        <v>8</v>
      </c>
      <c r="D15" s="4" t="s">
        <v>95</v>
      </c>
      <c r="E15" s="4" t="s">
        <v>95</v>
      </c>
      <c r="F15" s="4" t="s">
        <v>95</v>
      </c>
      <c r="I15" s="43"/>
      <c r="J15" s="5">
        <v>8</v>
      </c>
      <c r="K15" s="4" t="s">
        <v>95</v>
      </c>
      <c r="L15" s="4" t="s">
        <v>95</v>
      </c>
      <c r="M15" s="4" t="s">
        <v>95</v>
      </c>
      <c r="P15" s="44"/>
      <c r="Q15" s="5">
        <v>9</v>
      </c>
      <c r="R15" s="25" t="s">
        <v>95</v>
      </c>
      <c r="S15" s="25" t="s">
        <v>95</v>
      </c>
      <c r="T15" s="25" t="s">
        <v>95</v>
      </c>
      <c r="U15" s="25" t="s">
        <v>95</v>
      </c>
      <c r="V15" s="25" t="s">
        <v>95</v>
      </c>
      <c r="Y15" s="44"/>
      <c r="Z15" s="5">
        <v>9</v>
      </c>
      <c r="AA15" s="4" t="s">
        <v>95</v>
      </c>
      <c r="AB15" s="4" t="s">
        <v>95</v>
      </c>
      <c r="AC15" s="4" t="s">
        <v>95</v>
      </c>
      <c r="AD15" s="4" t="s">
        <v>95</v>
      </c>
      <c r="AE15" s="4" t="s">
        <v>95</v>
      </c>
    </row>
    <row r="16" spans="2:31" x14ac:dyDescent="0.25">
      <c r="B16" s="44"/>
      <c r="C16" s="5">
        <v>9</v>
      </c>
      <c r="D16" s="4" t="s">
        <v>95</v>
      </c>
      <c r="E16" s="4" t="s">
        <v>95</v>
      </c>
      <c r="F16" s="4" t="s">
        <v>95</v>
      </c>
      <c r="I16" s="44"/>
      <c r="J16" s="5">
        <v>9</v>
      </c>
      <c r="K16" s="4" t="s">
        <v>95</v>
      </c>
      <c r="L16" s="4" t="s">
        <v>95</v>
      </c>
      <c r="M16" s="4" t="s">
        <v>95</v>
      </c>
    </row>
    <row r="21" spans="2:31" x14ac:dyDescent="0.25">
      <c r="B21" s="6"/>
      <c r="C21" s="40" t="s">
        <v>96</v>
      </c>
      <c r="D21" s="40"/>
      <c r="E21" s="40"/>
      <c r="F21" s="40"/>
      <c r="I21" s="6"/>
      <c r="J21" s="40" t="s">
        <v>96</v>
      </c>
      <c r="K21" s="40"/>
      <c r="L21" s="40"/>
      <c r="M21" s="40"/>
      <c r="P21" s="6"/>
      <c r="Q21" s="40" t="s">
        <v>122</v>
      </c>
      <c r="R21" s="40"/>
      <c r="S21" s="40"/>
      <c r="T21" s="40"/>
      <c r="U21" s="40"/>
      <c r="V21" s="40"/>
      <c r="Y21" s="6"/>
      <c r="Z21" s="40" t="s">
        <v>96</v>
      </c>
      <c r="AA21" s="40"/>
      <c r="AB21" s="40"/>
      <c r="AC21" s="40"/>
      <c r="AD21" s="40"/>
      <c r="AE21" s="40"/>
    </row>
    <row r="22" spans="2:31" x14ac:dyDescent="0.25">
      <c r="B22" s="40" t="s">
        <v>94</v>
      </c>
      <c r="C22" s="40"/>
      <c r="D22" s="40"/>
      <c r="E22" s="40"/>
      <c r="F22" s="40"/>
      <c r="I22" s="40" t="s">
        <v>120</v>
      </c>
      <c r="J22" s="40"/>
      <c r="K22" s="40"/>
      <c r="L22" s="40"/>
      <c r="M22" s="40"/>
      <c r="P22" s="7"/>
      <c r="Q22" s="7" t="s">
        <v>85</v>
      </c>
      <c r="R22" s="41" t="s">
        <v>60</v>
      </c>
      <c r="S22" s="41"/>
      <c r="T22" s="41"/>
      <c r="U22" s="41"/>
      <c r="V22" s="41"/>
      <c r="Y22" s="7"/>
      <c r="Z22" s="7" t="s">
        <v>85</v>
      </c>
      <c r="AA22" s="41" t="s">
        <v>60</v>
      </c>
      <c r="AB22" s="41"/>
      <c r="AC22" s="41"/>
      <c r="AD22" s="41"/>
      <c r="AE22" s="41"/>
    </row>
    <row r="23" spans="2:31" x14ac:dyDescent="0.25">
      <c r="B23" s="7"/>
      <c r="C23" s="7" t="s">
        <v>85</v>
      </c>
      <c r="D23" s="46" t="s">
        <v>60</v>
      </c>
      <c r="E23" s="47"/>
      <c r="F23" s="48"/>
      <c r="I23" s="7"/>
      <c r="J23" s="7" t="s">
        <v>85</v>
      </c>
      <c r="K23" s="46" t="s">
        <v>60</v>
      </c>
      <c r="L23" s="47"/>
      <c r="M23" s="48"/>
      <c r="P23" s="42" t="s">
        <v>59</v>
      </c>
      <c r="Q23" s="7" t="s">
        <v>87</v>
      </c>
      <c r="R23" s="5">
        <v>1</v>
      </c>
      <c r="S23" s="5">
        <v>2</v>
      </c>
      <c r="T23" s="5">
        <v>3</v>
      </c>
      <c r="U23" s="5">
        <v>4</v>
      </c>
      <c r="V23" s="5">
        <v>5</v>
      </c>
      <c r="Y23" s="42" t="s">
        <v>59</v>
      </c>
      <c r="Z23" s="7" t="s">
        <v>22</v>
      </c>
      <c r="AA23" s="5">
        <v>1</v>
      </c>
      <c r="AB23" s="5">
        <v>2</v>
      </c>
      <c r="AC23" s="5">
        <v>3</v>
      </c>
      <c r="AD23" s="5">
        <v>4</v>
      </c>
      <c r="AE23" s="5">
        <v>5</v>
      </c>
    </row>
    <row r="24" spans="2:31" x14ac:dyDescent="0.25">
      <c r="B24" s="42" t="s">
        <v>59</v>
      </c>
      <c r="C24" s="7" t="s">
        <v>20</v>
      </c>
      <c r="D24" s="5">
        <v>1</v>
      </c>
      <c r="E24" s="5">
        <v>2</v>
      </c>
      <c r="F24" s="5" t="s">
        <v>93</v>
      </c>
      <c r="I24" s="42" t="s">
        <v>59</v>
      </c>
      <c r="J24" s="7" t="s">
        <v>20</v>
      </c>
      <c r="K24" s="5">
        <v>1</v>
      </c>
      <c r="L24" s="5">
        <v>2</v>
      </c>
      <c r="M24" s="5" t="s">
        <v>93</v>
      </c>
      <c r="P24" s="43"/>
      <c r="Q24" s="5">
        <v>1</v>
      </c>
      <c r="R24" s="25">
        <v>13.75</v>
      </c>
      <c r="S24" s="25">
        <v>19.059999999999999</v>
      </c>
      <c r="T24" s="25" t="s">
        <v>95</v>
      </c>
      <c r="U24" s="25" t="s">
        <v>95</v>
      </c>
      <c r="V24" s="25" t="s">
        <v>95</v>
      </c>
      <c r="Y24" s="43"/>
      <c r="Z24" s="5">
        <v>1</v>
      </c>
      <c r="AA24" s="25">
        <v>20.742595818815332</v>
      </c>
      <c r="AB24" s="25" t="s">
        <v>95</v>
      </c>
      <c r="AC24" s="25" t="s">
        <v>95</v>
      </c>
      <c r="AD24" s="4" t="s">
        <v>95</v>
      </c>
      <c r="AE24" s="4" t="s">
        <v>95</v>
      </c>
    </row>
    <row r="25" spans="2:31" x14ac:dyDescent="0.25">
      <c r="B25" s="43"/>
      <c r="C25" s="5">
        <v>1</v>
      </c>
      <c r="D25" s="4">
        <v>17</v>
      </c>
      <c r="E25" s="4" t="s">
        <v>95</v>
      </c>
      <c r="F25" s="4" t="s">
        <v>95</v>
      </c>
      <c r="I25" s="43"/>
      <c r="J25" s="5">
        <v>1</v>
      </c>
      <c r="K25" s="4">
        <v>19</v>
      </c>
      <c r="L25" s="4">
        <v>25</v>
      </c>
      <c r="M25" s="4" t="s">
        <v>95</v>
      </c>
      <c r="P25" s="43"/>
      <c r="Q25" s="5">
        <v>2</v>
      </c>
      <c r="R25" s="25">
        <v>11.86</v>
      </c>
      <c r="S25" s="25">
        <v>22.4</v>
      </c>
      <c r="T25" s="25" t="s">
        <v>95</v>
      </c>
      <c r="U25" s="25" t="s">
        <v>95</v>
      </c>
      <c r="V25" s="25" t="s">
        <v>95</v>
      </c>
      <c r="Y25" s="43"/>
      <c r="Z25" s="5">
        <v>2</v>
      </c>
      <c r="AA25" s="25">
        <v>22.607684963520288</v>
      </c>
      <c r="AB25" s="25">
        <v>21.009552042160738</v>
      </c>
      <c r="AC25" s="25" t="s">
        <v>95</v>
      </c>
      <c r="AD25" s="4" t="s">
        <v>95</v>
      </c>
      <c r="AE25" s="4" t="s">
        <v>95</v>
      </c>
    </row>
    <row r="26" spans="2:31" x14ac:dyDescent="0.25">
      <c r="B26" s="43"/>
      <c r="C26" s="5">
        <v>2</v>
      </c>
      <c r="D26" s="4">
        <v>13</v>
      </c>
      <c r="E26" s="4">
        <v>31</v>
      </c>
      <c r="F26" s="4" t="s">
        <v>95</v>
      </c>
      <c r="I26" s="43"/>
      <c r="J26" s="5">
        <v>2</v>
      </c>
      <c r="K26" s="4">
        <v>28</v>
      </c>
      <c r="L26" s="4">
        <v>27</v>
      </c>
      <c r="M26" s="4" t="s">
        <v>95</v>
      </c>
      <c r="P26" s="43"/>
      <c r="Q26" s="5">
        <v>3</v>
      </c>
      <c r="R26" s="25">
        <v>13.01</v>
      </c>
      <c r="S26" s="25">
        <v>21.47</v>
      </c>
      <c r="T26" s="25">
        <v>25.26</v>
      </c>
      <c r="U26" s="25" t="s">
        <v>95</v>
      </c>
      <c r="V26" s="25" t="s">
        <v>95</v>
      </c>
      <c r="Y26" s="43"/>
      <c r="Z26" s="5">
        <v>3</v>
      </c>
      <c r="AA26" s="25">
        <v>18.885011631771349</v>
      </c>
      <c r="AB26" s="25">
        <v>18.92527806803669</v>
      </c>
      <c r="AC26" s="25" t="s">
        <v>95</v>
      </c>
      <c r="AD26" s="4" t="s">
        <v>95</v>
      </c>
      <c r="AE26" s="4" t="s">
        <v>95</v>
      </c>
    </row>
    <row r="27" spans="2:31" x14ac:dyDescent="0.25">
      <c r="B27" s="43"/>
      <c r="C27" s="5">
        <v>3</v>
      </c>
      <c r="D27" s="4">
        <v>21</v>
      </c>
      <c r="E27" s="4">
        <v>20</v>
      </c>
      <c r="F27" s="4" t="s">
        <v>95</v>
      </c>
      <c r="I27" s="43"/>
      <c r="J27" s="5">
        <v>3</v>
      </c>
      <c r="K27" s="4">
        <v>21</v>
      </c>
      <c r="L27" s="4">
        <v>24</v>
      </c>
      <c r="M27" s="4">
        <v>14</v>
      </c>
      <c r="P27" s="43"/>
      <c r="Q27" s="5">
        <v>4</v>
      </c>
      <c r="R27" s="25">
        <v>11.59</v>
      </c>
      <c r="S27" s="25">
        <v>15.95</v>
      </c>
      <c r="T27" s="25">
        <v>43.24</v>
      </c>
      <c r="U27" s="25">
        <v>19.489999999999998</v>
      </c>
      <c r="V27" s="25" t="s">
        <v>95</v>
      </c>
      <c r="Y27" s="43"/>
      <c r="Z27" s="5">
        <v>4</v>
      </c>
      <c r="AA27" s="25" t="s">
        <v>95</v>
      </c>
      <c r="AB27" s="25" t="s">
        <v>95</v>
      </c>
      <c r="AC27" s="25" t="s">
        <v>95</v>
      </c>
      <c r="AD27" s="4" t="s">
        <v>95</v>
      </c>
      <c r="AE27" s="4" t="s">
        <v>95</v>
      </c>
    </row>
    <row r="28" spans="2:31" x14ac:dyDescent="0.25">
      <c r="B28" s="43"/>
      <c r="C28" s="5">
        <v>4</v>
      </c>
      <c r="D28" s="4" t="s">
        <v>95</v>
      </c>
      <c r="E28" s="4" t="s">
        <v>95</v>
      </c>
      <c r="F28" s="4" t="s">
        <v>95</v>
      </c>
      <c r="I28" s="43"/>
      <c r="J28" s="5">
        <v>4</v>
      </c>
      <c r="K28" s="4" t="s">
        <v>95</v>
      </c>
      <c r="L28" s="4">
        <v>31</v>
      </c>
      <c r="M28" s="4">
        <v>35</v>
      </c>
      <c r="P28" s="43"/>
      <c r="Q28" s="5">
        <v>5</v>
      </c>
      <c r="R28" s="25" t="s">
        <v>95</v>
      </c>
      <c r="S28" s="25">
        <v>10.3</v>
      </c>
      <c r="T28" s="25">
        <v>5.34</v>
      </c>
      <c r="U28" s="25">
        <v>10.3</v>
      </c>
      <c r="V28" s="25">
        <v>9.2899999999999991</v>
      </c>
      <c r="Y28" s="43"/>
      <c r="Z28" s="5">
        <v>5</v>
      </c>
      <c r="AA28" s="4" t="s">
        <v>95</v>
      </c>
      <c r="AB28" s="4" t="s">
        <v>95</v>
      </c>
      <c r="AC28" s="4" t="s">
        <v>95</v>
      </c>
      <c r="AD28" s="4" t="s">
        <v>95</v>
      </c>
      <c r="AE28" s="4" t="s">
        <v>95</v>
      </c>
    </row>
    <row r="29" spans="2:31" x14ac:dyDescent="0.25">
      <c r="B29" s="43"/>
      <c r="C29" s="5">
        <v>5</v>
      </c>
      <c r="D29" s="4" t="s">
        <v>95</v>
      </c>
      <c r="E29" s="4" t="s">
        <v>95</v>
      </c>
      <c r="F29" s="4" t="s">
        <v>95</v>
      </c>
      <c r="I29" s="43"/>
      <c r="J29" s="5">
        <v>5</v>
      </c>
      <c r="K29" s="4" t="s">
        <v>95</v>
      </c>
      <c r="L29" s="4">
        <v>27</v>
      </c>
      <c r="M29" s="4">
        <v>42</v>
      </c>
      <c r="P29" s="43"/>
      <c r="Q29" s="5">
        <v>6</v>
      </c>
      <c r="R29" s="25" t="s">
        <v>95</v>
      </c>
      <c r="S29" s="25" t="s">
        <v>95</v>
      </c>
      <c r="T29" s="25" t="s">
        <v>95</v>
      </c>
      <c r="U29" s="25" t="s">
        <v>95</v>
      </c>
      <c r="V29" s="25" t="s">
        <v>95</v>
      </c>
      <c r="Y29" s="43"/>
      <c r="Z29" s="5">
        <v>6</v>
      </c>
      <c r="AA29" s="4" t="s">
        <v>95</v>
      </c>
      <c r="AB29" s="4" t="s">
        <v>95</v>
      </c>
      <c r="AC29" s="4" t="s">
        <v>95</v>
      </c>
      <c r="AD29" s="4" t="s">
        <v>95</v>
      </c>
      <c r="AE29" s="4" t="s">
        <v>95</v>
      </c>
    </row>
    <row r="30" spans="2:31" x14ac:dyDescent="0.25">
      <c r="B30" s="43"/>
      <c r="C30" s="5">
        <v>6</v>
      </c>
      <c r="D30" s="4" t="s">
        <v>95</v>
      </c>
      <c r="E30" s="4" t="s">
        <v>95</v>
      </c>
      <c r="F30" s="4" t="s">
        <v>95</v>
      </c>
      <c r="I30" s="43"/>
      <c r="J30" s="5">
        <v>6</v>
      </c>
      <c r="K30" s="4" t="s">
        <v>95</v>
      </c>
      <c r="L30" s="4" t="s">
        <v>95</v>
      </c>
      <c r="M30" s="4">
        <v>26</v>
      </c>
      <c r="P30" s="43"/>
      <c r="Q30" s="5">
        <v>7</v>
      </c>
      <c r="R30" s="25" t="s">
        <v>95</v>
      </c>
      <c r="S30" s="25" t="s">
        <v>95</v>
      </c>
      <c r="T30" s="25" t="s">
        <v>95</v>
      </c>
      <c r="U30" s="25" t="s">
        <v>95</v>
      </c>
      <c r="V30" s="25" t="s">
        <v>95</v>
      </c>
      <c r="Y30" s="43"/>
      <c r="Z30" s="5">
        <v>7</v>
      </c>
      <c r="AA30" s="4" t="s">
        <v>95</v>
      </c>
      <c r="AB30" s="4" t="s">
        <v>95</v>
      </c>
      <c r="AC30" s="4" t="s">
        <v>95</v>
      </c>
      <c r="AD30" s="4" t="s">
        <v>95</v>
      </c>
      <c r="AE30" s="4" t="s">
        <v>95</v>
      </c>
    </row>
    <row r="31" spans="2:31" x14ac:dyDescent="0.25">
      <c r="B31" s="43"/>
      <c r="C31" s="5">
        <v>7</v>
      </c>
      <c r="D31" s="4" t="s">
        <v>95</v>
      </c>
      <c r="E31" s="4" t="s">
        <v>95</v>
      </c>
      <c r="F31" s="4" t="s">
        <v>95</v>
      </c>
      <c r="I31" s="43"/>
      <c r="J31" s="5">
        <v>7</v>
      </c>
      <c r="K31" s="4" t="s">
        <v>95</v>
      </c>
      <c r="L31" s="4" t="s">
        <v>95</v>
      </c>
      <c r="M31" s="4" t="s">
        <v>95</v>
      </c>
      <c r="P31" s="43"/>
      <c r="Q31" s="5">
        <v>8</v>
      </c>
      <c r="R31" s="25" t="s">
        <v>95</v>
      </c>
      <c r="S31" s="25" t="s">
        <v>95</v>
      </c>
      <c r="T31" s="25" t="s">
        <v>95</v>
      </c>
      <c r="U31" s="25" t="s">
        <v>95</v>
      </c>
      <c r="V31" s="25" t="s">
        <v>95</v>
      </c>
      <c r="Y31" s="43"/>
      <c r="Z31" s="5">
        <v>8</v>
      </c>
      <c r="AA31" s="4" t="s">
        <v>95</v>
      </c>
      <c r="AB31" s="4" t="s">
        <v>95</v>
      </c>
      <c r="AC31" s="4" t="s">
        <v>95</v>
      </c>
      <c r="AD31" s="4" t="s">
        <v>95</v>
      </c>
      <c r="AE31" s="4" t="s">
        <v>95</v>
      </c>
    </row>
    <row r="32" spans="2:31" x14ac:dyDescent="0.25">
      <c r="B32" s="43"/>
      <c r="C32" s="5">
        <v>8</v>
      </c>
      <c r="D32" s="4" t="s">
        <v>95</v>
      </c>
      <c r="E32" s="4" t="s">
        <v>95</v>
      </c>
      <c r="F32" s="4" t="s">
        <v>95</v>
      </c>
      <c r="I32" s="43"/>
      <c r="J32" s="5">
        <v>8</v>
      </c>
      <c r="K32" s="4" t="s">
        <v>95</v>
      </c>
      <c r="L32" s="4" t="s">
        <v>95</v>
      </c>
      <c r="M32" s="4" t="s">
        <v>95</v>
      </c>
      <c r="P32" s="44"/>
      <c r="Q32" s="5">
        <v>9</v>
      </c>
      <c r="R32" s="25" t="s">
        <v>95</v>
      </c>
      <c r="S32" s="25" t="s">
        <v>95</v>
      </c>
      <c r="T32" s="25" t="s">
        <v>95</v>
      </c>
      <c r="U32" s="25" t="s">
        <v>95</v>
      </c>
      <c r="V32" s="25" t="s">
        <v>95</v>
      </c>
      <c r="Y32" s="44"/>
      <c r="Z32" s="5">
        <v>9</v>
      </c>
      <c r="AA32" s="4" t="s">
        <v>95</v>
      </c>
      <c r="AB32" s="4" t="s">
        <v>95</v>
      </c>
      <c r="AC32" s="4" t="s">
        <v>95</v>
      </c>
      <c r="AD32" s="4" t="s">
        <v>95</v>
      </c>
      <c r="AE32" s="4" t="s">
        <v>95</v>
      </c>
    </row>
    <row r="33" spans="2:31" x14ac:dyDescent="0.25">
      <c r="B33" s="44"/>
      <c r="C33" s="5">
        <v>9</v>
      </c>
      <c r="D33" s="4" t="s">
        <v>95</v>
      </c>
      <c r="E33" s="4" t="s">
        <v>95</v>
      </c>
      <c r="F33" s="4" t="s">
        <v>95</v>
      </c>
      <c r="I33" s="44"/>
      <c r="J33" s="5">
        <v>9</v>
      </c>
      <c r="K33" s="4" t="s">
        <v>95</v>
      </c>
      <c r="L33" s="4" t="s">
        <v>95</v>
      </c>
      <c r="M33" s="4" t="s">
        <v>95</v>
      </c>
    </row>
    <row r="39" spans="2:31" ht="15" customHeight="1" x14ac:dyDescent="0.25">
      <c r="B39" s="6"/>
      <c r="C39" s="40" t="s">
        <v>96</v>
      </c>
      <c r="D39" s="40"/>
      <c r="E39" s="40"/>
      <c r="F39" s="40"/>
      <c r="I39" s="6"/>
      <c r="J39" s="40" t="s">
        <v>96</v>
      </c>
      <c r="K39" s="40"/>
      <c r="L39" s="40"/>
      <c r="M39" s="40"/>
      <c r="P39" s="6"/>
      <c r="Q39" s="40" t="s">
        <v>122</v>
      </c>
      <c r="R39" s="40"/>
      <c r="S39" s="40"/>
      <c r="T39" s="40"/>
      <c r="U39" s="40"/>
      <c r="V39" s="40"/>
      <c r="Y39" s="6"/>
      <c r="Z39" s="40" t="s">
        <v>96</v>
      </c>
      <c r="AA39" s="40"/>
      <c r="AB39" s="40"/>
      <c r="AC39" s="40"/>
      <c r="AD39" s="40"/>
      <c r="AE39" s="40"/>
    </row>
    <row r="40" spans="2:31" x14ac:dyDescent="0.25">
      <c r="B40" s="40" t="s">
        <v>94</v>
      </c>
      <c r="C40" s="40"/>
      <c r="D40" s="40"/>
      <c r="E40" s="40"/>
      <c r="F40" s="40"/>
      <c r="I40" s="40" t="s">
        <v>120</v>
      </c>
      <c r="J40" s="40"/>
      <c r="K40" s="40"/>
      <c r="L40" s="40"/>
      <c r="M40" s="40"/>
      <c r="P40" s="7"/>
      <c r="Q40" s="7" t="s">
        <v>85</v>
      </c>
      <c r="R40" s="41" t="s">
        <v>60</v>
      </c>
      <c r="S40" s="41"/>
      <c r="T40" s="41"/>
      <c r="U40" s="41"/>
      <c r="V40" s="41"/>
      <c r="Y40" s="7"/>
      <c r="Z40" s="7" t="s">
        <v>85</v>
      </c>
      <c r="AA40" s="41" t="s">
        <v>60</v>
      </c>
      <c r="AB40" s="41"/>
      <c r="AC40" s="41"/>
      <c r="AD40" s="41"/>
      <c r="AE40" s="41"/>
    </row>
    <row r="41" spans="2:31" x14ac:dyDescent="0.25">
      <c r="B41" s="7"/>
      <c r="C41" s="7" t="s">
        <v>85</v>
      </c>
      <c r="D41" s="46" t="s">
        <v>60</v>
      </c>
      <c r="E41" s="47"/>
      <c r="F41" s="48"/>
      <c r="I41" s="7"/>
      <c r="J41" s="7" t="s">
        <v>85</v>
      </c>
      <c r="K41" s="46" t="s">
        <v>60</v>
      </c>
      <c r="L41" s="47"/>
      <c r="M41" s="48"/>
      <c r="P41" s="42" t="s">
        <v>59</v>
      </c>
      <c r="Q41" s="7" t="s">
        <v>121</v>
      </c>
      <c r="R41" s="5">
        <v>1</v>
      </c>
      <c r="S41" s="5">
        <v>2</v>
      </c>
      <c r="T41" s="5">
        <v>3</v>
      </c>
      <c r="U41" s="5">
        <v>4</v>
      </c>
      <c r="V41" s="5">
        <v>5</v>
      </c>
      <c r="Y41" s="42" t="s">
        <v>59</v>
      </c>
      <c r="Z41" s="7" t="s">
        <v>33</v>
      </c>
      <c r="AA41" s="5">
        <v>1</v>
      </c>
      <c r="AB41" s="5">
        <v>2</v>
      </c>
      <c r="AC41" s="5">
        <v>3</v>
      </c>
      <c r="AD41" s="5">
        <v>4</v>
      </c>
      <c r="AE41" s="5">
        <v>5</v>
      </c>
    </row>
    <row r="42" spans="2:31" x14ac:dyDescent="0.25">
      <c r="B42" s="42" t="s">
        <v>59</v>
      </c>
      <c r="C42" s="7" t="s">
        <v>97</v>
      </c>
      <c r="D42" s="5">
        <v>1</v>
      </c>
      <c r="E42" s="5">
        <v>2</v>
      </c>
      <c r="F42" s="5" t="s">
        <v>93</v>
      </c>
      <c r="I42" s="42" t="s">
        <v>59</v>
      </c>
      <c r="J42" s="7" t="s">
        <v>97</v>
      </c>
      <c r="K42" s="5">
        <v>1</v>
      </c>
      <c r="L42" s="5">
        <v>2</v>
      </c>
      <c r="M42" s="5" t="s">
        <v>93</v>
      </c>
      <c r="P42" s="43"/>
      <c r="Q42" s="5">
        <v>1</v>
      </c>
      <c r="R42" s="26" t="s">
        <v>95</v>
      </c>
      <c r="S42" s="26" t="s">
        <v>95</v>
      </c>
      <c r="T42" s="26" t="s">
        <v>95</v>
      </c>
      <c r="U42" s="26" t="s">
        <v>95</v>
      </c>
      <c r="V42" s="26" t="s">
        <v>95</v>
      </c>
      <c r="Y42" s="43"/>
      <c r="Z42" s="5">
        <v>1</v>
      </c>
      <c r="AA42" s="25">
        <v>17.61992424242424</v>
      </c>
      <c r="AB42" s="25" t="s">
        <v>95</v>
      </c>
      <c r="AC42" s="25" t="s">
        <v>95</v>
      </c>
      <c r="AD42" s="4" t="s">
        <v>95</v>
      </c>
      <c r="AE42" s="4" t="s">
        <v>95</v>
      </c>
    </row>
    <row r="43" spans="2:31" x14ac:dyDescent="0.25">
      <c r="B43" s="43"/>
      <c r="C43" s="5">
        <v>1</v>
      </c>
      <c r="D43" s="4">
        <v>16</v>
      </c>
      <c r="E43" s="4" t="s">
        <v>95</v>
      </c>
      <c r="F43" s="4" t="s">
        <v>95</v>
      </c>
      <c r="I43" s="43"/>
      <c r="J43" s="5">
        <v>1</v>
      </c>
      <c r="K43" s="4">
        <v>21</v>
      </c>
      <c r="L43" s="4">
        <v>18</v>
      </c>
      <c r="M43" s="4" t="s">
        <v>95</v>
      </c>
      <c r="P43" s="43"/>
      <c r="Q43" s="5">
        <v>2</v>
      </c>
      <c r="R43" s="26" t="s">
        <v>95</v>
      </c>
      <c r="S43" s="26" t="s">
        <v>95</v>
      </c>
      <c r="T43" s="26" t="s">
        <v>95</v>
      </c>
      <c r="U43" s="26" t="s">
        <v>95</v>
      </c>
      <c r="V43" s="26" t="s">
        <v>95</v>
      </c>
      <c r="Y43" s="43"/>
      <c r="Z43" s="5">
        <v>2</v>
      </c>
      <c r="AA43" s="25" t="s">
        <v>95</v>
      </c>
      <c r="AB43" s="25">
        <v>26.770833333333329</v>
      </c>
      <c r="AC43" s="25" t="s">
        <v>95</v>
      </c>
      <c r="AD43" s="4" t="s">
        <v>95</v>
      </c>
      <c r="AE43" s="4" t="s">
        <v>95</v>
      </c>
    </row>
    <row r="44" spans="2:31" x14ac:dyDescent="0.25">
      <c r="B44" s="43"/>
      <c r="C44" s="5">
        <v>2</v>
      </c>
      <c r="D44" s="4">
        <v>21</v>
      </c>
      <c r="E44" s="4">
        <v>19</v>
      </c>
      <c r="F44" s="4">
        <v>30</v>
      </c>
      <c r="I44" s="43"/>
      <c r="J44" s="5">
        <v>2</v>
      </c>
      <c r="K44" s="4">
        <v>19</v>
      </c>
      <c r="L44" s="4">
        <v>17</v>
      </c>
      <c r="M44" s="4">
        <v>21</v>
      </c>
      <c r="P44" s="43"/>
      <c r="Q44" s="5">
        <v>3</v>
      </c>
      <c r="R44" s="26" t="s">
        <v>95</v>
      </c>
      <c r="S44" s="25">
        <v>16.559999999999999</v>
      </c>
      <c r="T44" s="26" t="s">
        <v>95</v>
      </c>
      <c r="U44" s="26" t="s">
        <v>95</v>
      </c>
      <c r="V44" s="26" t="s">
        <v>95</v>
      </c>
      <c r="Y44" s="43"/>
      <c r="Z44" s="5">
        <v>3</v>
      </c>
      <c r="AA44" s="25">
        <v>16.493055555555561</v>
      </c>
      <c r="AB44" s="25">
        <v>23.886792452830189</v>
      </c>
      <c r="AC44" s="25" t="s">
        <v>95</v>
      </c>
      <c r="AD44" s="4" t="s">
        <v>95</v>
      </c>
      <c r="AE44" s="4" t="s">
        <v>95</v>
      </c>
    </row>
    <row r="45" spans="2:31" x14ac:dyDescent="0.25">
      <c r="B45" s="43"/>
      <c r="C45" s="5">
        <v>3</v>
      </c>
      <c r="D45" s="4">
        <v>17</v>
      </c>
      <c r="E45" s="4">
        <v>25</v>
      </c>
      <c r="F45" s="4">
        <v>41</v>
      </c>
      <c r="I45" s="43"/>
      <c r="J45" s="5">
        <v>3</v>
      </c>
      <c r="K45" s="4">
        <v>19</v>
      </c>
      <c r="L45" s="4">
        <v>18</v>
      </c>
      <c r="M45" s="4">
        <v>32</v>
      </c>
      <c r="P45" s="43"/>
      <c r="Q45" s="5">
        <v>4</v>
      </c>
      <c r="R45" s="26" t="s">
        <v>95</v>
      </c>
      <c r="S45" s="25">
        <v>11.54</v>
      </c>
      <c r="T45" s="26" t="s">
        <v>95</v>
      </c>
      <c r="U45" s="26" t="s">
        <v>95</v>
      </c>
      <c r="V45" s="26" t="s">
        <v>95</v>
      </c>
      <c r="Y45" s="43"/>
      <c r="Z45" s="5">
        <v>4</v>
      </c>
      <c r="AA45" s="25" t="s">
        <v>95</v>
      </c>
      <c r="AB45" s="25">
        <v>29.513888888888889</v>
      </c>
      <c r="AC45" s="25" t="s">
        <v>95</v>
      </c>
      <c r="AD45" s="4" t="s">
        <v>95</v>
      </c>
      <c r="AE45" s="4" t="s">
        <v>95</v>
      </c>
    </row>
    <row r="46" spans="2:31" x14ac:dyDescent="0.25">
      <c r="B46" s="43"/>
      <c r="C46" s="5">
        <v>4</v>
      </c>
      <c r="D46" s="4" t="s">
        <v>95</v>
      </c>
      <c r="E46" s="4" t="s">
        <v>95</v>
      </c>
      <c r="F46" s="4">
        <v>51</v>
      </c>
      <c r="I46" s="43"/>
      <c r="J46" s="5">
        <v>4</v>
      </c>
      <c r="K46" s="4" t="s">
        <v>95</v>
      </c>
      <c r="L46" s="4" t="s">
        <v>95</v>
      </c>
      <c r="M46" s="4">
        <v>13</v>
      </c>
      <c r="P46" s="43"/>
      <c r="Q46" s="5">
        <v>5</v>
      </c>
      <c r="R46" s="26" t="s">
        <v>95</v>
      </c>
      <c r="S46" s="26" t="s">
        <v>95</v>
      </c>
      <c r="T46" s="26" t="s">
        <v>95</v>
      </c>
      <c r="U46" s="26" t="s">
        <v>95</v>
      </c>
      <c r="V46" s="26" t="s">
        <v>95</v>
      </c>
      <c r="Y46" s="43"/>
      <c r="Z46" s="5">
        <v>5</v>
      </c>
      <c r="AA46" s="4" t="s">
        <v>95</v>
      </c>
      <c r="AB46" s="4" t="s">
        <v>95</v>
      </c>
      <c r="AC46" s="4" t="s">
        <v>95</v>
      </c>
      <c r="AD46" s="4" t="s">
        <v>95</v>
      </c>
      <c r="AE46" s="4" t="s">
        <v>95</v>
      </c>
    </row>
    <row r="47" spans="2:31" x14ac:dyDescent="0.25">
      <c r="B47" s="43"/>
      <c r="C47" s="5">
        <v>5</v>
      </c>
      <c r="D47" s="4" t="s">
        <v>95</v>
      </c>
      <c r="E47" s="4" t="s">
        <v>95</v>
      </c>
      <c r="F47" s="4" t="s">
        <v>95</v>
      </c>
      <c r="I47" s="43"/>
      <c r="J47" s="5">
        <v>5</v>
      </c>
      <c r="K47" s="4" t="s">
        <v>95</v>
      </c>
      <c r="L47" s="4" t="s">
        <v>95</v>
      </c>
      <c r="M47" s="4">
        <v>51</v>
      </c>
      <c r="P47" s="43"/>
      <c r="Q47" s="5">
        <v>6</v>
      </c>
      <c r="R47" s="26" t="s">
        <v>95</v>
      </c>
      <c r="S47" s="26" t="s">
        <v>95</v>
      </c>
      <c r="T47" s="26" t="s">
        <v>95</v>
      </c>
      <c r="U47" s="26" t="s">
        <v>95</v>
      </c>
      <c r="V47" s="26" t="s">
        <v>95</v>
      </c>
      <c r="Y47" s="43"/>
      <c r="Z47" s="5">
        <v>6</v>
      </c>
      <c r="AA47" s="4" t="s">
        <v>95</v>
      </c>
      <c r="AB47" s="4" t="s">
        <v>95</v>
      </c>
      <c r="AC47" s="4" t="s">
        <v>95</v>
      </c>
      <c r="AD47" s="4" t="s">
        <v>95</v>
      </c>
      <c r="AE47" s="4" t="s">
        <v>95</v>
      </c>
    </row>
    <row r="48" spans="2:31" x14ac:dyDescent="0.25">
      <c r="B48" s="43"/>
      <c r="C48" s="5">
        <v>6</v>
      </c>
      <c r="D48" s="4" t="s">
        <v>95</v>
      </c>
      <c r="E48" s="4" t="s">
        <v>95</v>
      </c>
      <c r="F48" s="4" t="s">
        <v>95</v>
      </c>
      <c r="I48" s="43"/>
      <c r="J48" s="5">
        <v>6</v>
      </c>
      <c r="K48" s="4" t="s">
        <v>95</v>
      </c>
      <c r="L48" s="4" t="s">
        <v>95</v>
      </c>
      <c r="M48" s="4" t="s">
        <v>95</v>
      </c>
      <c r="P48" s="43"/>
      <c r="Q48" s="5">
        <v>7</v>
      </c>
      <c r="R48" s="26" t="s">
        <v>95</v>
      </c>
      <c r="S48" s="26" t="s">
        <v>95</v>
      </c>
      <c r="T48" s="26" t="s">
        <v>95</v>
      </c>
      <c r="U48" s="26" t="s">
        <v>95</v>
      </c>
      <c r="V48" s="26" t="s">
        <v>95</v>
      </c>
      <c r="Y48" s="43"/>
      <c r="Z48" s="5">
        <v>7</v>
      </c>
      <c r="AA48" s="4" t="s">
        <v>95</v>
      </c>
      <c r="AB48" s="4" t="s">
        <v>95</v>
      </c>
      <c r="AC48" s="4" t="s">
        <v>95</v>
      </c>
      <c r="AD48" s="4" t="s">
        <v>95</v>
      </c>
      <c r="AE48" s="4" t="s">
        <v>95</v>
      </c>
    </row>
    <row r="49" spans="2:31" x14ac:dyDescent="0.25">
      <c r="B49" s="43"/>
      <c r="C49" s="5">
        <v>7</v>
      </c>
      <c r="D49" s="4" t="s">
        <v>95</v>
      </c>
      <c r="E49" s="4" t="s">
        <v>95</v>
      </c>
      <c r="F49" s="4" t="s">
        <v>95</v>
      </c>
      <c r="I49" s="43"/>
      <c r="J49" s="5">
        <v>7</v>
      </c>
      <c r="K49" s="4" t="s">
        <v>95</v>
      </c>
      <c r="L49" s="4" t="s">
        <v>95</v>
      </c>
      <c r="M49" s="4" t="s">
        <v>95</v>
      </c>
      <c r="P49" s="43"/>
      <c r="Q49" s="5">
        <v>8</v>
      </c>
      <c r="R49" s="26" t="s">
        <v>95</v>
      </c>
      <c r="S49" s="26" t="s">
        <v>95</v>
      </c>
      <c r="T49" s="26" t="s">
        <v>95</v>
      </c>
      <c r="U49" s="26" t="s">
        <v>95</v>
      </c>
      <c r="V49" s="26" t="s">
        <v>95</v>
      </c>
      <c r="Y49" s="43"/>
      <c r="Z49" s="5">
        <v>8</v>
      </c>
      <c r="AA49" s="4" t="s">
        <v>95</v>
      </c>
      <c r="AB49" s="4" t="s">
        <v>95</v>
      </c>
      <c r="AC49" s="4" t="s">
        <v>95</v>
      </c>
      <c r="AD49" s="4" t="s">
        <v>95</v>
      </c>
      <c r="AE49" s="4" t="s">
        <v>95</v>
      </c>
    </row>
    <row r="50" spans="2:31" x14ac:dyDescent="0.25">
      <c r="B50" s="43"/>
      <c r="C50" s="5">
        <v>8</v>
      </c>
      <c r="D50" s="4" t="s">
        <v>95</v>
      </c>
      <c r="E50" s="4" t="s">
        <v>95</v>
      </c>
      <c r="F50" s="4" t="s">
        <v>95</v>
      </c>
      <c r="I50" s="43"/>
      <c r="J50" s="5">
        <v>8</v>
      </c>
      <c r="K50" s="4" t="s">
        <v>95</v>
      </c>
      <c r="L50" s="4" t="s">
        <v>95</v>
      </c>
      <c r="M50" s="4" t="s">
        <v>95</v>
      </c>
      <c r="P50" s="44"/>
      <c r="Q50" s="5">
        <v>9</v>
      </c>
      <c r="R50" s="26" t="s">
        <v>95</v>
      </c>
      <c r="S50" s="26" t="s">
        <v>95</v>
      </c>
      <c r="T50" s="26" t="s">
        <v>95</v>
      </c>
      <c r="U50" s="26" t="s">
        <v>95</v>
      </c>
      <c r="V50" s="26" t="s">
        <v>95</v>
      </c>
      <c r="Y50" s="44"/>
      <c r="Z50" s="5">
        <v>9</v>
      </c>
      <c r="AA50" s="4" t="s">
        <v>95</v>
      </c>
      <c r="AB50" s="4" t="s">
        <v>95</v>
      </c>
      <c r="AC50" s="4" t="s">
        <v>95</v>
      </c>
      <c r="AD50" s="4" t="s">
        <v>95</v>
      </c>
      <c r="AE50" s="4" t="s">
        <v>95</v>
      </c>
    </row>
    <row r="51" spans="2:31" x14ac:dyDescent="0.25">
      <c r="B51" s="44"/>
      <c r="C51" s="5">
        <v>9</v>
      </c>
      <c r="D51" s="4" t="s">
        <v>95</v>
      </c>
      <c r="E51" s="4" t="s">
        <v>95</v>
      </c>
      <c r="F51" s="4" t="s">
        <v>95</v>
      </c>
      <c r="I51" s="44"/>
      <c r="J51" s="5">
        <v>9</v>
      </c>
      <c r="K51" s="4" t="s">
        <v>95</v>
      </c>
      <c r="L51" s="4" t="s">
        <v>95</v>
      </c>
      <c r="M51" s="4" t="s">
        <v>95</v>
      </c>
      <c r="U51" s="4"/>
      <c r="V51" s="4"/>
    </row>
    <row r="56" spans="2:31" x14ac:dyDescent="0.25">
      <c r="B56" s="6"/>
      <c r="C56" s="40" t="s">
        <v>96</v>
      </c>
      <c r="D56" s="40"/>
      <c r="E56" s="40"/>
      <c r="F56" s="40"/>
      <c r="I56" s="6"/>
      <c r="J56" s="40" t="s">
        <v>96</v>
      </c>
      <c r="K56" s="40"/>
      <c r="L56" s="40"/>
      <c r="M56" s="40"/>
      <c r="P56" s="6"/>
      <c r="Q56" s="40" t="s">
        <v>122</v>
      </c>
      <c r="R56" s="40"/>
      <c r="S56" s="40"/>
      <c r="T56" s="40"/>
      <c r="U56" s="40"/>
      <c r="V56" s="40"/>
      <c r="Y56" s="6"/>
      <c r="Z56" s="40" t="s">
        <v>96</v>
      </c>
      <c r="AA56" s="40"/>
      <c r="AB56" s="40"/>
      <c r="AC56" s="40"/>
      <c r="AD56" s="40"/>
      <c r="AE56" s="40"/>
    </row>
    <row r="57" spans="2:31" x14ac:dyDescent="0.25">
      <c r="B57" s="40" t="s">
        <v>94</v>
      </c>
      <c r="C57" s="40"/>
      <c r="D57" s="40"/>
      <c r="E57" s="40"/>
      <c r="F57" s="40"/>
      <c r="I57" s="40" t="s">
        <v>120</v>
      </c>
      <c r="J57" s="40"/>
      <c r="K57" s="40"/>
      <c r="L57" s="40"/>
      <c r="M57" s="40"/>
      <c r="P57" s="7"/>
      <c r="Q57" s="7" t="s">
        <v>85</v>
      </c>
      <c r="R57" s="41" t="s">
        <v>60</v>
      </c>
      <c r="S57" s="41"/>
      <c r="T57" s="41"/>
      <c r="U57" s="41"/>
      <c r="V57" s="41"/>
      <c r="Y57" s="7"/>
      <c r="Z57" s="7" t="s">
        <v>85</v>
      </c>
      <c r="AA57" s="41" t="s">
        <v>60</v>
      </c>
      <c r="AB57" s="41"/>
      <c r="AC57" s="41"/>
      <c r="AD57" s="41"/>
      <c r="AE57" s="41"/>
    </row>
    <row r="58" spans="2:31" x14ac:dyDescent="0.25">
      <c r="B58" s="7"/>
      <c r="C58" s="7" t="s">
        <v>85</v>
      </c>
      <c r="D58" s="46" t="s">
        <v>60</v>
      </c>
      <c r="E58" s="47"/>
      <c r="F58" s="48"/>
      <c r="I58" s="7"/>
      <c r="J58" s="7" t="s">
        <v>85</v>
      </c>
      <c r="K58" s="46" t="s">
        <v>60</v>
      </c>
      <c r="L58" s="47"/>
      <c r="M58" s="48"/>
      <c r="P58" s="42" t="s">
        <v>59</v>
      </c>
      <c r="Q58" s="7" t="s">
        <v>12</v>
      </c>
      <c r="R58" s="5">
        <v>1</v>
      </c>
      <c r="S58" s="5">
        <v>2</v>
      </c>
      <c r="T58" s="5">
        <v>3</v>
      </c>
      <c r="U58" s="5">
        <v>4</v>
      </c>
      <c r="V58" s="5">
        <v>5</v>
      </c>
      <c r="Y58" s="42" t="s">
        <v>59</v>
      </c>
      <c r="Z58" s="7" t="s">
        <v>123</v>
      </c>
      <c r="AA58" s="5">
        <v>1</v>
      </c>
      <c r="AB58" s="5">
        <v>2</v>
      </c>
      <c r="AC58" s="5">
        <v>3</v>
      </c>
      <c r="AD58" s="5">
        <v>4</v>
      </c>
      <c r="AE58" s="5">
        <v>5</v>
      </c>
    </row>
    <row r="59" spans="2:31" x14ac:dyDescent="0.25">
      <c r="B59" s="42" t="s">
        <v>59</v>
      </c>
      <c r="C59" s="7" t="s">
        <v>99</v>
      </c>
      <c r="D59" s="5">
        <v>1</v>
      </c>
      <c r="E59" s="5">
        <v>2</v>
      </c>
      <c r="F59" s="5" t="s">
        <v>93</v>
      </c>
      <c r="I59" s="42" t="s">
        <v>59</v>
      </c>
      <c r="J59" s="7" t="s">
        <v>100</v>
      </c>
      <c r="K59" s="5">
        <v>1</v>
      </c>
      <c r="L59" s="5">
        <v>2</v>
      </c>
      <c r="M59" s="5" t="s">
        <v>93</v>
      </c>
      <c r="P59" s="43"/>
      <c r="Q59" s="5">
        <v>1</v>
      </c>
      <c r="R59" s="25">
        <v>7.83</v>
      </c>
      <c r="S59" s="25" t="s">
        <v>95</v>
      </c>
      <c r="T59" s="25" t="s">
        <v>95</v>
      </c>
      <c r="U59" s="25" t="s">
        <v>95</v>
      </c>
      <c r="V59" s="25" t="s">
        <v>95</v>
      </c>
      <c r="Y59" s="43"/>
      <c r="Z59" s="5">
        <v>1</v>
      </c>
      <c r="AA59" s="25">
        <v>47.348484848484851</v>
      </c>
      <c r="AB59" s="25">
        <v>31.25</v>
      </c>
      <c r="AC59" s="25" t="s">
        <v>95</v>
      </c>
      <c r="AD59" s="25" t="s">
        <v>95</v>
      </c>
      <c r="AE59" s="25" t="s">
        <v>95</v>
      </c>
    </row>
    <row r="60" spans="2:31" x14ac:dyDescent="0.25">
      <c r="B60" s="43"/>
      <c r="C60" s="5">
        <v>1</v>
      </c>
      <c r="D60" s="4">
        <v>22</v>
      </c>
      <c r="E60" s="4" t="s">
        <v>95</v>
      </c>
      <c r="F60" s="4" t="s">
        <v>95</v>
      </c>
      <c r="I60" s="43"/>
      <c r="J60" s="5">
        <v>1</v>
      </c>
      <c r="K60" s="4">
        <v>17</v>
      </c>
      <c r="L60" s="4">
        <v>32</v>
      </c>
      <c r="M60" s="4" t="s">
        <v>95</v>
      </c>
      <c r="P60" s="43"/>
      <c r="Q60" s="5">
        <v>2</v>
      </c>
      <c r="R60" s="25">
        <v>10.050000000000001</v>
      </c>
      <c r="S60" s="25">
        <v>13.28</v>
      </c>
      <c r="T60" s="25" t="s">
        <v>95</v>
      </c>
      <c r="U60" s="25" t="s">
        <v>95</v>
      </c>
      <c r="V60" s="25" t="s">
        <v>95</v>
      </c>
      <c r="Y60" s="43"/>
      <c r="Z60" s="5">
        <v>2</v>
      </c>
      <c r="AA60" s="25" t="s">
        <v>95</v>
      </c>
      <c r="AB60" s="25">
        <v>35.75</v>
      </c>
      <c r="AC60" s="25" t="s">
        <v>95</v>
      </c>
      <c r="AD60" s="25" t="s">
        <v>95</v>
      </c>
      <c r="AE60" s="25" t="s">
        <v>95</v>
      </c>
    </row>
    <row r="61" spans="2:31" x14ac:dyDescent="0.25">
      <c r="B61" s="43"/>
      <c r="C61" s="5">
        <v>2</v>
      </c>
      <c r="D61" s="4">
        <v>25</v>
      </c>
      <c r="E61" s="4">
        <v>21</v>
      </c>
      <c r="F61" s="4">
        <v>28</v>
      </c>
      <c r="I61" s="43"/>
      <c r="J61" s="5">
        <v>2</v>
      </c>
      <c r="K61" s="4">
        <v>20</v>
      </c>
      <c r="L61" s="4">
        <v>20</v>
      </c>
      <c r="M61" s="4">
        <v>23</v>
      </c>
      <c r="P61" s="43"/>
      <c r="Q61" s="5">
        <v>3</v>
      </c>
      <c r="R61" s="25">
        <v>8.23</v>
      </c>
      <c r="S61" s="25">
        <v>13.11</v>
      </c>
      <c r="T61" s="25" t="s">
        <v>95</v>
      </c>
      <c r="U61" s="25" t="s">
        <v>95</v>
      </c>
      <c r="V61" s="25" t="s">
        <v>95</v>
      </c>
      <c r="Y61" s="43"/>
      <c r="Z61" s="5">
        <v>3</v>
      </c>
      <c r="AA61" s="25" t="s">
        <v>95</v>
      </c>
      <c r="AB61" s="25">
        <v>28.922768725600591</v>
      </c>
      <c r="AC61" s="25">
        <v>33.161300505050512</v>
      </c>
      <c r="AD61" s="25" t="s">
        <v>95</v>
      </c>
      <c r="AE61" s="25" t="s">
        <v>95</v>
      </c>
    </row>
    <row r="62" spans="2:31" x14ac:dyDescent="0.25">
      <c r="B62" s="43"/>
      <c r="C62" s="5">
        <v>3</v>
      </c>
      <c r="D62" s="4" t="s">
        <v>95</v>
      </c>
      <c r="E62" s="4">
        <v>28</v>
      </c>
      <c r="F62" s="4">
        <v>57</v>
      </c>
      <c r="I62" s="43"/>
      <c r="J62" s="5">
        <v>3</v>
      </c>
      <c r="K62" s="4">
        <v>22</v>
      </c>
      <c r="L62" s="4">
        <v>19</v>
      </c>
      <c r="M62" s="4">
        <v>29</v>
      </c>
      <c r="P62" s="43"/>
      <c r="Q62" s="5">
        <v>4</v>
      </c>
      <c r="R62" s="25">
        <v>5.49</v>
      </c>
      <c r="S62" s="25">
        <v>11.32</v>
      </c>
      <c r="T62" s="25">
        <v>14.15</v>
      </c>
      <c r="U62" s="25" t="s">
        <v>95</v>
      </c>
      <c r="V62" s="25" t="s">
        <v>95</v>
      </c>
      <c r="Y62" s="43"/>
      <c r="Z62" s="5">
        <v>4</v>
      </c>
      <c r="AA62" s="25" t="s">
        <v>95</v>
      </c>
      <c r="AB62" s="25">
        <v>29.62962962962963</v>
      </c>
      <c r="AC62" s="25">
        <v>30.76376642439142</v>
      </c>
      <c r="AD62" s="25">
        <v>37.037851293504559</v>
      </c>
      <c r="AE62" s="25">
        <v>42.2316384180791</v>
      </c>
    </row>
    <row r="63" spans="2:31" x14ac:dyDescent="0.25">
      <c r="B63" s="43"/>
      <c r="C63" s="5">
        <v>4</v>
      </c>
      <c r="D63" s="4" t="s">
        <v>95</v>
      </c>
      <c r="E63" s="4" t="s">
        <v>95</v>
      </c>
      <c r="F63" s="4">
        <v>24</v>
      </c>
      <c r="I63" s="43"/>
      <c r="J63" s="5">
        <v>4</v>
      </c>
      <c r="K63" s="4" t="s">
        <v>95</v>
      </c>
      <c r="L63" s="4">
        <v>27</v>
      </c>
      <c r="M63" s="4">
        <v>32</v>
      </c>
      <c r="P63" s="43"/>
      <c r="Q63" s="5">
        <v>5</v>
      </c>
      <c r="R63" s="25">
        <v>3</v>
      </c>
      <c r="S63" s="25" t="s">
        <v>95</v>
      </c>
      <c r="T63" s="25">
        <v>10.68</v>
      </c>
      <c r="U63" s="25">
        <v>14.35</v>
      </c>
      <c r="V63" s="25" t="s">
        <v>95</v>
      </c>
      <c r="Y63" s="43"/>
      <c r="Z63" s="5">
        <v>5</v>
      </c>
      <c r="AA63" s="25" t="s">
        <v>95</v>
      </c>
      <c r="AB63" s="25" t="s">
        <v>95</v>
      </c>
      <c r="AC63" s="25">
        <v>25.694444444444439</v>
      </c>
      <c r="AD63" s="25">
        <v>31.81818181818182</v>
      </c>
      <c r="AE63" s="25">
        <v>45.303030303030297</v>
      </c>
    </row>
    <row r="64" spans="2:31" x14ac:dyDescent="0.25">
      <c r="B64" s="43"/>
      <c r="C64" s="5">
        <v>5</v>
      </c>
      <c r="D64" s="4" t="s">
        <v>95</v>
      </c>
      <c r="E64" s="4" t="s">
        <v>95</v>
      </c>
      <c r="F64" s="4">
        <v>20</v>
      </c>
      <c r="I64" s="43"/>
      <c r="J64" s="5">
        <v>5</v>
      </c>
      <c r="K64" s="4" t="s">
        <v>95</v>
      </c>
      <c r="L64" s="4" t="s">
        <v>95</v>
      </c>
      <c r="M64" s="4">
        <v>14</v>
      </c>
      <c r="P64" s="43"/>
      <c r="Q64" s="5">
        <v>6</v>
      </c>
      <c r="R64" s="25" t="s">
        <v>95</v>
      </c>
      <c r="S64" s="25">
        <v>32.24</v>
      </c>
      <c r="T64" s="25">
        <v>174.65</v>
      </c>
      <c r="U64" s="25" t="s">
        <v>95</v>
      </c>
      <c r="V64" s="25" t="s">
        <v>95</v>
      </c>
      <c r="Y64" s="43"/>
      <c r="Z64" s="5">
        <v>6</v>
      </c>
      <c r="AA64" s="4" t="s">
        <v>95</v>
      </c>
      <c r="AB64" s="4" t="s">
        <v>95</v>
      </c>
      <c r="AC64" s="4" t="s">
        <v>95</v>
      </c>
      <c r="AD64" s="4" t="s">
        <v>95</v>
      </c>
      <c r="AE64" s="4" t="s">
        <v>95</v>
      </c>
    </row>
    <row r="65" spans="2:31" x14ac:dyDescent="0.25">
      <c r="B65" s="43"/>
      <c r="C65" s="5">
        <v>6</v>
      </c>
      <c r="D65" s="4" t="s">
        <v>95</v>
      </c>
      <c r="E65" s="4" t="s">
        <v>95</v>
      </c>
      <c r="F65" s="4" t="s">
        <v>95</v>
      </c>
      <c r="I65" s="43"/>
      <c r="J65" s="5">
        <v>6</v>
      </c>
      <c r="K65" s="4" t="s">
        <v>95</v>
      </c>
      <c r="L65" s="4" t="s">
        <v>95</v>
      </c>
      <c r="M65" s="4" t="s">
        <v>95</v>
      </c>
      <c r="P65" s="43"/>
      <c r="Q65" s="5">
        <v>7</v>
      </c>
      <c r="R65" s="25" t="s">
        <v>95</v>
      </c>
      <c r="S65" s="25" t="s">
        <v>95</v>
      </c>
      <c r="T65" s="25" t="s">
        <v>95</v>
      </c>
      <c r="U65" s="25" t="s">
        <v>95</v>
      </c>
      <c r="V65" s="25" t="s">
        <v>95</v>
      </c>
      <c r="Y65" s="43"/>
      <c r="Z65" s="5">
        <v>7</v>
      </c>
      <c r="AA65" s="4" t="s">
        <v>95</v>
      </c>
      <c r="AB65" s="4" t="s">
        <v>95</v>
      </c>
      <c r="AC65" s="4" t="s">
        <v>95</v>
      </c>
      <c r="AD65" s="4" t="s">
        <v>95</v>
      </c>
      <c r="AE65" s="4" t="s">
        <v>95</v>
      </c>
    </row>
    <row r="66" spans="2:31" x14ac:dyDescent="0.25">
      <c r="B66" s="43"/>
      <c r="C66" s="5">
        <v>7</v>
      </c>
      <c r="D66" s="4" t="s">
        <v>95</v>
      </c>
      <c r="E66" s="4" t="s">
        <v>95</v>
      </c>
      <c r="F66" s="4" t="s">
        <v>95</v>
      </c>
      <c r="I66" s="43"/>
      <c r="J66" s="5">
        <v>7</v>
      </c>
      <c r="K66" s="4" t="s">
        <v>95</v>
      </c>
      <c r="L66" s="4" t="s">
        <v>95</v>
      </c>
      <c r="M66" s="4" t="s">
        <v>95</v>
      </c>
      <c r="P66" s="43"/>
      <c r="Q66" s="5">
        <v>8</v>
      </c>
      <c r="R66" s="25" t="s">
        <v>95</v>
      </c>
      <c r="S66" s="25" t="s">
        <v>95</v>
      </c>
      <c r="T66" s="25" t="s">
        <v>95</v>
      </c>
      <c r="U66" s="25" t="s">
        <v>95</v>
      </c>
      <c r="V66" s="25" t="s">
        <v>95</v>
      </c>
      <c r="Y66" s="43"/>
      <c r="Z66" s="5">
        <v>8</v>
      </c>
      <c r="AA66" s="4" t="s">
        <v>95</v>
      </c>
      <c r="AB66" s="4" t="s">
        <v>95</v>
      </c>
      <c r="AC66" s="4" t="s">
        <v>95</v>
      </c>
      <c r="AD66" s="4" t="s">
        <v>95</v>
      </c>
      <c r="AE66" s="4" t="s">
        <v>95</v>
      </c>
    </row>
    <row r="67" spans="2:31" x14ac:dyDescent="0.25">
      <c r="B67" s="43"/>
      <c r="C67" s="5">
        <v>8</v>
      </c>
      <c r="D67" s="4" t="s">
        <v>95</v>
      </c>
      <c r="E67" s="4" t="s">
        <v>95</v>
      </c>
      <c r="F67" s="4" t="s">
        <v>95</v>
      </c>
      <c r="I67" s="43"/>
      <c r="J67" s="5">
        <v>8</v>
      </c>
      <c r="K67" s="4" t="s">
        <v>95</v>
      </c>
      <c r="L67" s="4" t="s">
        <v>95</v>
      </c>
      <c r="M67" s="4">
        <v>200</v>
      </c>
      <c r="P67" s="44"/>
      <c r="Q67" s="5">
        <v>9</v>
      </c>
      <c r="R67" s="25" t="s">
        <v>95</v>
      </c>
      <c r="S67" s="25" t="s">
        <v>95</v>
      </c>
      <c r="T67" s="25" t="s">
        <v>95</v>
      </c>
      <c r="U67" s="25" t="s">
        <v>95</v>
      </c>
      <c r="V67" s="25" t="s">
        <v>95</v>
      </c>
      <c r="Y67" s="44"/>
      <c r="Z67" s="5">
        <v>9</v>
      </c>
      <c r="AA67" s="4" t="s">
        <v>95</v>
      </c>
      <c r="AB67" s="4" t="s">
        <v>95</v>
      </c>
      <c r="AC67" s="4" t="s">
        <v>95</v>
      </c>
      <c r="AD67" s="4" t="s">
        <v>95</v>
      </c>
      <c r="AE67" s="4" t="s">
        <v>95</v>
      </c>
    </row>
    <row r="68" spans="2:31" x14ac:dyDescent="0.25">
      <c r="B68" s="44"/>
      <c r="C68" s="5">
        <v>9</v>
      </c>
      <c r="D68" s="4" t="s">
        <v>95</v>
      </c>
      <c r="E68" s="4" t="s">
        <v>95</v>
      </c>
      <c r="F68" s="4" t="s">
        <v>95</v>
      </c>
      <c r="I68" s="44"/>
      <c r="J68" s="5">
        <v>9</v>
      </c>
      <c r="K68" s="4" t="s">
        <v>95</v>
      </c>
      <c r="L68" s="4" t="s">
        <v>95</v>
      </c>
      <c r="M68" s="4" t="s">
        <v>95</v>
      </c>
    </row>
    <row r="74" spans="2:31" x14ac:dyDescent="0.25">
      <c r="B74" s="6"/>
      <c r="C74" s="40" t="s">
        <v>96</v>
      </c>
      <c r="D74" s="40"/>
      <c r="E74" s="40"/>
      <c r="F74" s="40"/>
      <c r="I74" s="6"/>
      <c r="J74" s="40" t="s">
        <v>96</v>
      </c>
      <c r="K74" s="40"/>
      <c r="L74" s="40"/>
      <c r="M74" s="40"/>
      <c r="P74" s="6"/>
      <c r="Q74" s="40" t="s">
        <v>122</v>
      </c>
      <c r="R74" s="40"/>
      <c r="S74" s="40"/>
      <c r="T74" s="40"/>
      <c r="U74" s="40"/>
      <c r="V74" s="40"/>
      <c r="Y74" s="6"/>
      <c r="Z74" s="40" t="s">
        <v>96</v>
      </c>
      <c r="AA74" s="40"/>
      <c r="AB74" s="40"/>
      <c r="AC74" s="40"/>
      <c r="AD74" s="40"/>
      <c r="AE74" s="40"/>
    </row>
    <row r="75" spans="2:31" x14ac:dyDescent="0.25">
      <c r="B75" s="40" t="s">
        <v>94</v>
      </c>
      <c r="C75" s="40"/>
      <c r="D75" s="40"/>
      <c r="E75" s="40"/>
      <c r="F75" s="40"/>
      <c r="I75" s="40" t="s">
        <v>120</v>
      </c>
      <c r="J75" s="40"/>
      <c r="K75" s="40"/>
      <c r="L75" s="40"/>
      <c r="M75" s="40"/>
      <c r="P75" s="7"/>
      <c r="Q75" s="7" t="s">
        <v>85</v>
      </c>
      <c r="R75" s="41" t="s">
        <v>60</v>
      </c>
      <c r="S75" s="41"/>
      <c r="T75" s="41"/>
      <c r="U75" s="41"/>
      <c r="V75" s="41"/>
      <c r="Y75" s="7"/>
      <c r="Z75" s="7" t="s">
        <v>85</v>
      </c>
      <c r="AA75" s="41" t="s">
        <v>60</v>
      </c>
      <c r="AB75" s="41"/>
      <c r="AC75" s="41"/>
      <c r="AD75" s="41"/>
      <c r="AE75" s="41"/>
    </row>
    <row r="76" spans="2:31" x14ac:dyDescent="0.25">
      <c r="B76" s="7"/>
      <c r="C76" s="7" t="s">
        <v>85</v>
      </c>
      <c r="D76" s="46" t="s">
        <v>60</v>
      </c>
      <c r="E76" s="47"/>
      <c r="F76" s="48"/>
      <c r="I76" s="7"/>
      <c r="J76" s="7" t="s">
        <v>85</v>
      </c>
      <c r="K76" s="46" t="s">
        <v>60</v>
      </c>
      <c r="L76" s="47"/>
      <c r="M76" s="48"/>
      <c r="P76" s="42" t="s">
        <v>59</v>
      </c>
      <c r="Q76" s="7" t="s">
        <v>17</v>
      </c>
      <c r="R76" s="5">
        <v>1</v>
      </c>
      <c r="S76" s="5">
        <v>2</v>
      </c>
      <c r="T76" s="5">
        <v>3</v>
      </c>
      <c r="U76" s="5">
        <v>4</v>
      </c>
      <c r="V76" s="5">
        <v>5</v>
      </c>
      <c r="Y76" s="42" t="s">
        <v>59</v>
      </c>
      <c r="Z76" s="7" t="s">
        <v>124</v>
      </c>
      <c r="AA76" s="5">
        <v>1</v>
      </c>
      <c r="AB76" s="5">
        <v>2</v>
      </c>
      <c r="AC76" s="5">
        <v>3</v>
      </c>
      <c r="AD76" s="5">
        <v>4</v>
      </c>
      <c r="AE76" s="5">
        <v>5</v>
      </c>
    </row>
    <row r="77" spans="2:31" x14ac:dyDescent="0.25">
      <c r="B77" s="42" t="s">
        <v>59</v>
      </c>
      <c r="C77" s="7" t="s">
        <v>98</v>
      </c>
      <c r="D77" s="5">
        <v>1</v>
      </c>
      <c r="E77" s="5">
        <v>2</v>
      </c>
      <c r="F77" s="5" t="s">
        <v>93</v>
      </c>
      <c r="I77" s="42" t="s">
        <v>59</v>
      </c>
      <c r="J77" s="7" t="s">
        <v>98</v>
      </c>
      <c r="K77" s="5">
        <v>1</v>
      </c>
      <c r="L77" s="5">
        <v>2</v>
      </c>
      <c r="M77" s="5" t="s">
        <v>93</v>
      </c>
      <c r="P77" s="43"/>
      <c r="Q77" s="5">
        <v>1</v>
      </c>
      <c r="R77" s="4" t="s">
        <v>95</v>
      </c>
      <c r="S77" s="4" t="s">
        <v>95</v>
      </c>
      <c r="T77" s="4" t="s">
        <v>95</v>
      </c>
      <c r="U77" s="4" t="s">
        <v>95</v>
      </c>
      <c r="V77" s="4" t="s">
        <v>95</v>
      </c>
      <c r="Y77" s="43"/>
      <c r="Z77" s="5">
        <v>1</v>
      </c>
      <c r="AA77" s="25">
        <v>27.905614860407152</v>
      </c>
      <c r="AB77" s="25" t="s">
        <v>95</v>
      </c>
      <c r="AC77" s="25" t="s">
        <v>95</v>
      </c>
      <c r="AD77" s="4" t="s">
        <v>95</v>
      </c>
      <c r="AE77" s="4" t="s">
        <v>95</v>
      </c>
    </row>
    <row r="78" spans="2:31" x14ac:dyDescent="0.25">
      <c r="B78" s="43"/>
      <c r="C78" s="5">
        <v>1</v>
      </c>
      <c r="D78" s="4">
        <v>14</v>
      </c>
      <c r="E78" s="4" t="s">
        <v>95</v>
      </c>
      <c r="F78" s="4" t="s">
        <v>95</v>
      </c>
      <c r="I78" s="43"/>
      <c r="J78" s="5">
        <v>1</v>
      </c>
      <c r="K78" s="4">
        <v>20</v>
      </c>
      <c r="L78" s="4">
        <v>13</v>
      </c>
      <c r="M78" s="4" t="s">
        <v>95</v>
      </c>
      <c r="P78" s="43"/>
      <c r="Q78" s="5">
        <v>2</v>
      </c>
      <c r="R78" s="4" t="s">
        <v>95</v>
      </c>
      <c r="S78" s="4" t="s">
        <v>95</v>
      </c>
      <c r="T78" s="25">
        <v>29.43</v>
      </c>
      <c r="U78" s="4" t="s">
        <v>95</v>
      </c>
      <c r="V78" s="4" t="s">
        <v>95</v>
      </c>
      <c r="Y78" s="43"/>
      <c r="Z78" s="5">
        <v>2</v>
      </c>
      <c r="AA78" s="25">
        <v>21.55417623772054</v>
      </c>
      <c r="AB78" s="25">
        <v>28.524152157869938</v>
      </c>
      <c r="AC78" s="25" t="s">
        <v>95</v>
      </c>
      <c r="AD78" s="4" t="s">
        <v>95</v>
      </c>
      <c r="AE78" s="4" t="s">
        <v>95</v>
      </c>
    </row>
    <row r="79" spans="2:31" x14ac:dyDescent="0.25">
      <c r="B79" s="43"/>
      <c r="C79" s="5">
        <v>2</v>
      </c>
      <c r="D79" s="4">
        <v>20</v>
      </c>
      <c r="E79" s="4">
        <v>26</v>
      </c>
      <c r="F79" s="4" t="s">
        <v>95</v>
      </c>
      <c r="I79" s="43"/>
      <c r="J79" s="5">
        <v>2</v>
      </c>
      <c r="K79" s="4">
        <v>23</v>
      </c>
      <c r="L79" s="4">
        <v>29</v>
      </c>
      <c r="M79" s="4" t="s">
        <v>95</v>
      </c>
      <c r="P79" s="43"/>
      <c r="Q79" s="5">
        <v>3</v>
      </c>
      <c r="R79" s="4" t="s">
        <v>95</v>
      </c>
      <c r="S79" s="25">
        <v>26.71</v>
      </c>
      <c r="T79" s="4" t="s">
        <v>95</v>
      </c>
      <c r="U79" s="4" t="s">
        <v>95</v>
      </c>
      <c r="V79" s="4" t="s">
        <v>95</v>
      </c>
      <c r="Y79" s="43"/>
      <c r="Z79" s="5">
        <v>3</v>
      </c>
      <c r="AA79" s="25" t="s">
        <v>95</v>
      </c>
      <c r="AB79" s="25">
        <v>28.08895751775972</v>
      </c>
      <c r="AC79" s="25">
        <v>29.074074074074069</v>
      </c>
      <c r="AD79" s="4" t="s">
        <v>95</v>
      </c>
      <c r="AE79" s="4" t="s">
        <v>95</v>
      </c>
    </row>
    <row r="80" spans="2:31" x14ac:dyDescent="0.25">
      <c r="B80" s="43"/>
      <c r="C80" s="5">
        <v>3</v>
      </c>
      <c r="D80" s="4" t="s">
        <v>95</v>
      </c>
      <c r="E80" s="4">
        <v>19</v>
      </c>
      <c r="F80" s="4" t="s">
        <v>95</v>
      </c>
      <c r="I80" s="43"/>
      <c r="J80" s="5">
        <v>3</v>
      </c>
      <c r="K80" s="4">
        <v>17</v>
      </c>
      <c r="L80" s="4">
        <v>31</v>
      </c>
      <c r="M80" s="4">
        <v>28</v>
      </c>
      <c r="P80" s="43"/>
      <c r="Q80" s="5">
        <v>4</v>
      </c>
      <c r="R80" s="25">
        <v>18.350000000000001</v>
      </c>
      <c r="S80" s="4" t="s">
        <v>95</v>
      </c>
      <c r="T80" s="4" t="s">
        <v>95</v>
      </c>
      <c r="U80" s="4" t="s">
        <v>95</v>
      </c>
      <c r="V80" s="4" t="s">
        <v>95</v>
      </c>
      <c r="Y80" s="43"/>
      <c r="Z80" s="5">
        <v>4</v>
      </c>
      <c r="AA80" s="25" t="s">
        <v>95</v>
      </c>
      <c r="AB80" s="25" t="s">
        <v>95</v>
      </c>
      <c r="AC80" s="25" t="s">
        <v>95</v>
      </c>
      <c r="AD80" s="4" t="s">
        <v>95</v>
      </c>
      <c r="AE80" s="4" t="s">
        <v>95</v>
      </c>
    </row>
    <row r="81" spans="2:31" x14ac:dyDescent="0.25">
      <c r="B81" s="43"/>
      <c r="C81" s="5">
        <v>4</v>
      </c>
      <c r="D81" s="4" t="s">
        <v>95</v>
      </c>
      <c r="E81" s="4">
        <v>13</v>
      </c>
      <c r="F81" s="4" t="s">
        <v>95</v>
      </c>
      <c r="I81" s="43"/>
      <c r="J81" s="5">
        <v>4</v>
      </c>
      <c r="K81" s="4" t="s">
        <v>95</v>
      </c>
      <c r="L81" s="4">
        <v>18</v>
      </c>
      <c r="M81" s="4" t="s">
        <v>95</v>
      </c>
      <c r="P81" s="43"/>
      <c r="Q81" s="5">
        <v>5</v>
      </c>
      <c r="R81" s="4" t="s">
        <v>95</v>
      </c>
      <c r="S81" s="4" t="s">
        <v>95</v>
      </c>
      <c r="T81" s="4" t="s">
        <v>95</v>
      </c>
      <c r="U81" s="4">
        <v>9.7799999999999994</v>
      </c>
      <c r="V81" s="4" t="s">
        <v>95</v>
      </c>
      <c r="Y81" s="43"/>
      <c r="Z81" s="5">
        <v>5</v>
      </c>
      <c r="AA81" s="25" t="s">
        <v>95</v>
      </c>
      <c r="AB81" s="25" t="s">
        <v>95</v>
      </c>
      <c r="AC81" s="25" t="s">
        <v>95</v>
      </c>
      <c r="AD81" s="4" t="s">
        <v>95</v>
      </c>
      <c r="AE81" s="4" t="s">
        <v>95</v>
      </c>
    </row>
    <row r="82" spans="2:31" x14ac:dyDescent="0.25">
      <c r="B82" s="43"/>
      <c r="C82" s="5">
        <v>5</v>
      </c>
      <c r="D82" s="4" t="s">
        <v>95</v>
      </c>
      <c r="E82" s="4" t="s">
        <v>95</v>
      </c>
      <c r="F82" s="4" t="s">
        <v>95</v>
      </c>
      <c r="I82" s="43"/>
      <c r="J82" s="5">
        <v>5</v>
      </c>
      <c r="K82" s="4" t="s">
        <v>95</v>
      </c>
      <c r="L82" s="4" t="s">
        <v>95</v>
      </c>
      <c r="M82" s="4">
        <v>21</v>
      </c>
      <c r="P82" s="43"/>
      <c r="Q82" s="5">
        <v>6</v>
      </c>
      <c r="R82" s="4" t="s">
        <v>95</v>
      </c>
      <c r="S82" s="4" t="s">
        <v>95</v>
      </c>
      <c r="T82" s="4" t="s">
        <v>95</v>
      </c>
      <c r="U82" s="4" t="s">
        <v>95</v>
      </c>
      <c r="V82" s="4" t="s">
        <v>95</v>
      </c>
      <c r="Y82" s="43"/>
      <c r="Z82" s="5">
        <v>6</v>
      </c>
      <c r="AA82" s="4" t="s">
        <v>95</v>
      </c>
      <c r="AB82" s="4" t="s">
        <v>95</v>
      </c>
      <c r="AC82" s="4" t="s">
        <v>95</v>
      </c>
      <c r="AD82" s="4" t="s">
        <v>95</v>
      </c>
      <c r="AE82" s="4" t="s">
        <v>95</v>
      </c>
    </row>
    <row r="83" spans="2:31" x14ac:dyDescent="0.25">
      <c r="B83" s="43"/>
      <c r="C83" s="5">
        <v>6</v>
      </c>
      <c r="D83" s="4" t="s">
        <v>95</v>
      </c>
      <c r="E83" s="4" t="s">
        <v>95</v>
      </c>
      <c r="F83" s="4" t="s">
        <v>95</v>
      </c>
      <c r="I83" s="43"/>
      <c r="J83" s="5">
        <v>6</v>
      </c>
      <c r="K83" s="4" t="s">
        <v>95</v>
      </c>
      <c r="L83" s="4" t="s">
        <v>95</v>
      </c>
      <c r="M83" s="4" t="s">
        <v>95</v>
      </c>
      <c r="P83" s="43"/>
      <c r="Q83" s="5">
        <v>7</v>
      </c>
      <c r="R83" s="4" t="s">
        <v>95</v>
      </c>
      <c r="S83" s="4" t="s">
        <v>95</v>
      </c>
      <c r="T83" s="4" t="s">
        <v>95</v>
      </c>
      <c r="U83" s="4" t="s">
        <v>95</v>
      </c>
      <c r="V83" s="4" t="s">
        <v>95</v>
      </c>
      <c r="Y83" s="43"/>
      <c r="Z83" s="5">
        <v>7</v>
      </c>
      <c r="AA83" s="4" t="s">
        <v>95</v>
      </c>
      <c r="AB83" s="4" t="s">
        <v>95</v>
      </c>
      <c r="AC83" s="4" t="s">
        <v>95</v>
      </c>
      <c r="AD83" s="4" t="s">
        <v>95</v>
      </c>
      <c r="AE83" s="4" t="s">
        <v>95</v>
      </c>
    </row>
    <row r="84" spans="2:31" x14ac:dyDescent="0.25">
      <c r="B84" s="43"/>
      <c r="C84" s="5">
        <v>7</v>
      </c>
      <c r="D84" s="4" t="s">
        <v>95</v>
      </c>
      <c r="E84" s="4" t="s">
        <v>95</v>
      </c>
      <c r="F84" s="4" t="s">
        <v>95</v>
      </c>
      <c r="I84" s="43"/>
      <c r="J84" s="5">
        <v>7</v>
      </c>
      <c r="K84" s="4" t="s">
        <v>95</v>
      </c>
      <c r="L84" s="4" t="s">
        <v>95</v>
      </c>
      <c r="M84" s="4" t="s">
        <v>95</v>
      </c>
      <c r="P84" s="43"/>
      <c r="Q84" s="5">
        <v>8</v>
      </c>
      <c r="R84" s="4" t="s">
        <v>95</v>
      </c>
      <c r="S84" s="4" t="s">
        <v>95</v>
      </c>
      <c r="T84" s="4" t="s">
        <v>95</v>
      </c>
      <c r="U84" s="4" t="s">
        <v>95</v>
      </c>
      <c r="V84" s="4" t="s">
        <v>95</v>
      </c>
      <c r="Y84" s="43"/>
      <c r="Z84" s="5">
        <v>8</v>
      </c>
      <c r="AA84" s="4" t="s">
        <v>95</v>
      </c>
      <c r="AB84" s="4" t="s">
        <v>95</v>
      </c>
      <c r="AC84" s="4" t="s">
        <v>95</v>
      </c>
      <c r="AD84" s="4" t="s">
        <v>95</v>
      </c>
      <c r="AE84" s="4" t="s">
        <v>95</v>
      </c>
    </row>
    <row r="85" spans="2:31" x14ac:dyDescent="0.25">
      <c r="B85" s="43"/>
      <c r="C85" s="5">
        <v>8</v>
      </c>
      <c r="D85" s="4" t="s">
        <v>95</v>
      </c>
      <c r="E85" s="4" t="s">
        <v>95</v>
      </c>
      <c r="F85" s="4" t="s">
        <v>95</v>
      </c>
      <c r="I85" s="43"/>
      <c r="J85" s="5">
        <v>8</v>
      </c>
      <c r="K85" s="4" t="s">
        <v>95</v>
      </c>
      <c r="L85" s="4" t="s">
        <v>95</v>
      </c>
      <c r="M85" s="4" t="s">
        <v>95</v>
      </c>
      <c r="P85" s="44"/>
      <c r="Q85" s="5">
        <v>9</v>
      </c>
      <c r="R85" s="4" t="s">
        <v>95</v>
      </c>
      <c r="S85" s="4" t="s">
        <v>95</v>
      </c>
      <c r="T85" s="4" t="s">
        <v>95</v>
      </c>
      <c r="U85" s="4" t="s">
        <v>95</v>
      </c>
      <c r="V85" s="4" t="s">
        <v>95</v>
      </c>
      <c r="Y85" s="44"/>
      <c r="Z85" s="5">
        <v>9</v>
      </c>
      <c r="AA85" s="4" t="s">
        <v>95</v>
      </c>
      <c r="AB85" s="4" t="s">
        <v>95</v>
      </c>
      <c r="AC85" s="4" t="s">
        <v>95</v>
      </c>
      <c r="AD85" s="4" t="s">
        <v>95</v>
      </c>
      <c r="AE85" s="4" t="s">
        <v>95</v>
      </c>
    </row>
    <row r="86" spans="2:31" x14ac:dyDescent="0.25">
      <c r="B86" s="44"/>
      <c r="C86" s="5">
        <v>9</v>
      </c>
      <c r="D86" s="4" t="s">
        <v>95</v>
      </c>
      <c r="E86" s="4" t="s">
        <v>95</v>
      </c>
      <c r="F86" s="4" t="s">
        <v>95</v>
      </c>
      <c r="I86" s="44"/>
      <c r="J86" s="5">
        <v>9</v>
      </c>
      <c r="K86" s="4" t="s">
        <v>95</v>
      </c>
      <c r="L86" s="4" t="s">
        <v>95</v>
      </c>
      <c r="M86" s="4" t="s">
        <v>95</v>
      </c>
    </row>
    <row r="92" spans="2:31" x14ac:dyDescent="0.25">
      <c r="B92" s="6"/>
      <c r="C92" s="40" t="s">
        <v>96</v>
      </c>
      <c r="D92" s="40"/>
      <c r="E92" s="40"/>
      <c r="F92" s="40"/>
      <c r="I92" s="6"/>
      <c r="J92" s="40" t="s">
        <v>96</v>
      </c>
      <c r="K92" s="40"/>
      <c r="L92" s="40"/>
      <c r="M92" s="40"/>
      <c r="P92" s="6"/>
      <c r="Q92" s="40" t="s">
        <v>122</v>
      </c>
      <c r="R92" s="40"/>
      <c r="S92" s="40"/>
      <c r="T92" s="40"/>
      <c r="U92" s="40"/>
      <c r="V92" s="40"/>
      <c r="Y92" s="6"/>
      <c r="Z92" s="40" t="s">
        <v>96</v>
      </c>
      <c r="AA92" s="40"/>
      <c r="AB92" s="40"/>
      <c r="AC92" s="40"/>
      <c r="AD92" s="40"/>
      <c r="AE92" s="40"/>
    </row>
    <row r="93" spans="2:31" x14ac:dyDescent="0.25">
      <c r="B93" s="40" t="s">
        <v>94</v>
      </c>
      <c r="C93" s="40"/>
      <c r="D93" s="40"/>
      <c r="E93" s="40"/>
      <c r="F93" s="40"/>
      <c r="I93" s="40" t="s">
        <v>94</v>
      </c>
      <c r="J93" s="40"/>
      <c r="K93" s="40"/>
      <c r="L93" s="40"/>
      <c r="M93" s="40"/>
      <c r="P93" s="7"/>
      <c r="Q93" s="7" t="s">
        <v>85</v>
      </c>
      <c r="R93" s="41" t="s">
        <v>60</v>
      </c>
      <c r="S93" s="41"/>
      <c r="T93" s="41"/>
      <c r="U93" s="41"/>
      <c r="V93" s="41"/>
      <c r="Y93" s="7"/>
      <c r="Z93" s="7" t="s">
        <v>85</v>
      </c>
      <c r="AA93" s="41" t="s">
        <v>60</v>
      </c>
      <c r="AB93" s="41"/>
      <c r="AC93" s="41"/>
      <c r="AD93" s="41"/>
      <c r="AE93" s="41"/>
    </row>
    <row r="94" spans="2:31" x14ac:dyDescent="0.25">
      <c r="B94" s="7"/>
      <c r="C94" s="7" t="s">
        <v>85</v>
      </c>
      <c r="D94" s="46" t="s">
        <v>60</v>
      </c>
      <c r="E94" s="47"/>
      <c r="F94" s="48"/>
      <c r="I94" s="7"/>
      <c r="J94" s="7" t="s">
        <v>85</v>
      </c>
      <c r="K94" s="46" t="s">
        <v>60</v>
      </c>
      <c r="L94" s="47"/>
      <c r="M94" s="48"/>
      <c r="P94" s="42" t="s">
        <v>59</v>
      </c>
      <c r="Q94" s="7" t="s">
        <v>15</v>
      </c>
      <c r="R94" s="5">
        <v>1</v>
      </c>
      <c r="S94" s="5">
        <v>2</v>
      </c>
      <c r="T94" s="5">
        <v>3</v>
      </c>
      <c r="U94" s="5">
        <v>4</v>
      </c>
      <c r="V94" s="5">
        <v>5</v>
      </c>
      <c r="Y94" s="42" t="s">
        <v>59</v>
      </c>
      <c r="Z94" s="7" t="s">
        <v>125</v>
      </c>
      <c r="AA94" s="5">
        <v>1</v>
      </c>
      <c r="AB94" s="5">
        <v>2</v>
      </c>
      <c r="AC94" s="5">
        <v>3</v>
      </c>
      <c r="AD94" s="5">
        <v>4</v>
      </c>
      <c r="AE94" s="5">
        <v>5</v>
      </c>
    </row>
    <row r="95" spans="2:31" x14ac:dyDescent="0.25">
      <c r="B95" s="42" t="s">
        <v>59</v>
      </c>
      <c r="C95" s="7" t="s">
        <v>101</v>
      </c>
      <c r="D95" s="5">
        <v>1</v>
      </c>
      <c r="E95" s="5">
        <v>2</v>
      </c>
      <c r="F95" s="5" t="s">
        <v>93</v>
      </c>
      <c r="I95" s="42" t="s">
        <v>59</v>
      </c>
      <c r="J95" s="7" t="s">
        <v>101</v>
      </c>
      <c r="K95" s="5">
        <v>1</v>
      </c>
      <c r="L95" s="5">
        <v>2</v>
      </c>
      <c r="M95" s="5" t="s">
        <v>93</v>
      </c>
      <c r="P95" s="43"/>
      <c r="Q95" s="5">
        <v>1</v>
      </c>
      <c r="R95" s="4" t="s">
        <v>95</v>
      </c>
      <c r="S95" s="4" t="s">
        <v>95</v>
      </c>
      <c r="T95" s="4" t="s">
        <v>95</v>
      </c>
      <c r="U95" s="4" t="s">
        <v>95</v>
      </c>
      <c r="V95" s="4" t="s">
        <v>95</v>
      </c>
      <c r="Y95" s="43"/>
      <c r="Z95" s="5">
        <v>1</v>
      </c>
      <c r="AA95" s="25">
        <v>22.17845993229135</v>
      </c>
      <c r="AB95" s="25">
        <v>33.007872409949613</v>
      </c>
      <c r="AC95" s="25" t="s">
        <v>95</v>
      </c>
      <c r="AD95" s="25" t="s">
        <v>95</v>
      </c>
      <c r="AE95" s="25" t="s">
        <v>95</v>
      </c>
    </row>
    <row r="96" spans="2:31" x14ac:dyDescent="0.25">
      <c r="B96" s="43"/>
      <c r="C96" s="5">
        <v>1</v>
      </c>
      <c r="D96" s="4">
        <v>16</v>
      </c>
      <c r="E96" s="4" t="s">
        <v>95</v>
      </c>
      <c r="F96" s="4" t="s">
        <v>95</v>
      </c>
      <c r="I96" s="43"/>
      <c r="J96" s="5">
        <v>1</v>
      </c>
      <c r="K96" s="4">
        <v>19</v>
      </c>
      <c r="L96" s="4" t="s">
        <v>95</v>
      </c>
      <c r="M96" s="4" t="s">
        <v>95</v>
      </c>
      <c r="P96" s="43"/>
      <c r="Q96" s="5">
        <v>2</v>
      </c>
      <c r="R96" s="25">
        <v>9.94</v>
      </c>
      <c r="S96" s="25">
        <v>11.43</v>
      </c>
      <c r="T96" s="4" t="s">
        <v>95</v>
      </c>
      <c r="U96" s="4" t="s">
        <v>95</v>
      </c>
      <c r="V96" s="4" t="s">
        <v>95</v>
      </c>
      <c r="Y96" s="43"/>
      <c r="Z96" s="5">
        <v>2</v>
      </c>
      <c r="AA96" s="25">
        <v>24.482308716649239</v>
      </c>
      <c r="AB96" s="25">
        <v>28.831038075316009</v>
      </c>
      <c r="AC96" s="25">
        <v>33.357916924451978</v>
      </c>
      <c r="AD96" s="25">
        <v>50</v>
      </c>
      <c r="AE96" s="25" t="s">
        <v>95</v>
      </c>
    </row>
    <row r="97" spans="2:31" x14ac:dyDescent="0.25">
      <c r="B97" s="43"/>
      <c r="C97" s="5">
        <v>2</v>
      </c>
      <c r="D97" s="4">
        <v>16</v>
      </c>
      <c r="E97" s="4" t="s">
        <v>95</v>
      </c>
      <c r="F97" s="4" t="s">
        <v>95</v>
      </c>
      <c r="I97" s="43"/>
      <c r="J97" s="5">
        <v>2</v>
      </c>
      <c r="K97" s="4">
        <v>20</v>
      </c>
      <c r="L97" s="4" t="s">
        <v>95</v>
      </c>
      <c r="M97" s="4" t="s">
        <v>95</v>
      </c>
      <c r="P97" s="43"/>
      <c r="Q97" s="5">
        <v>3</v>
      </c>
      <c r="R97" s="4" t="s">
        <v>95</v>
      </c>
      <c r="S97" s="25">
        <v>13.64</v>
      </c>
      <c r="T97" s="25">
        <v>18.600000000000001</v>
      </c>
      <c r="U97" s="4" t="s">
        <v>95</v>
      </c>
      <c r="V97" s="4" t="s">
        <v>95</v>
      </c>
      <c r="Y97" s="43"/>
      <c r="Z97" s="5">
        <v>3</v>
      </c>
      <c r="AA97" s="25">
        <v>26.309662908222009</v>
      </c>
      <c r="AB97" s="25">
        <v>29.563616067316541</v>
      </c>
      <c r="AC97" s="25">
        <v>29.78005545206716</v>
      </c>
      <c r="AD97" s="25">
        <v>33.663361941553582</v>
      </c>
      <c r="AE97" s="25">
        <v>9.4161958568738235</v>
      </c>
    </row>
    <row r="98" spans="2:31" x14ac:dyDescent="0.25">
      <c r="B98" s="43"/>
      <c r="C98" s="5">
        <v>3</v>
      </c>
      <c r="D98" s="4" t="s">
        <v>95</v>
      </c>
      <c r="E98" s="4" t="s">
        <v>95</v>
      </c>
      <c r="F98" s="4" t="s">
        <v>95</v>
      </c>
      <c r="I98" s="43"/>
      <c r="J98" s="5">
        <v>3</v>
      </c>
      <c r="K98" s="4">
        <v>15</v>
      </c>
      <c r="L98" s="4" t="s">
        <v>95</v>
      </c>
      <c r="M98" s="4">
        <v>22</v>
      </c>
      <c r="P98" s="43"/>
      <c r="Q98" s="5">
        <v>4</v>
      </c>
      <c r="R98" s="4" t="s">
        <v>95</v>
      </c>
      <c r="S98" s="4" t="s">
        <v>95</v>
      </c>
      <c r="T98" s="25">
        <v>14.01</v>
      </c>
      <c r="U98" s="4" t="s">
        <v>95</v>
      </c>
      <c r="V98" s="4" t="s">
        <v>95</v>
      </c>
      <c r="Y98" s="43"/>
      <c r="Z98" s="5">
        <v>4</v>
      </c>
      <c r="AA98" s="25">
        <v>24.577493998380071</v>
      </c>
      <c r="AB98" s="25">
        <v>26.27535203751173</v>
      </c>
      <c r="AC98" s="25">
        <v>31.8877456950623</v>
      </c>
      <c r="AD98" s="25">
        <v>35.899209144129017</v>
      </c>
      <c r="AE98" s="25">
        <v>38.07140525542858</v>
      </c>
    </row>
    <row r="99" spans="2:31" x14ac:dyDescent="0.25">
      <c r="B99" s="43"/>
      <c r="C99" s="5">
        <v>4</v>
      </c>
      <c r="D99" s="4" t="s">
        <v>95</v>
      </c>
      <c r="E99" s="4" t="s">
        <v>95</v>
      </c>
      <c r="F99" s="4">
        <v>20</v>
      </c>
      <c r="I99" s="43"/>
      <c r="J99" s="5">
        <v>4</v>
      </c>
      <c r="K99" s="4" t="s">
        <v>95</v>
      </c>
      <c r="L99" s="4" t="s">
        <v>95</v>
      </c>
      <c r="M99" s="4" t="s">
        <v>95</v>
      </c>
      <c r="P99" s="43"/>
      <c r="Q99" s="5">
        <v>5</v>
      </c>
      <c r="R99" s="4" t="s">
        <v>95</v>
      </c>
      <c r="S99" s="4" t="s">
        <v>95</v>
      </c>
      <c r="T99" s="25">
        <v>9.9499999999999993</v>
      </c>
      <c r="U99" s="25">
        <v>22.49</v>
      </c>
      <c r="V99" s="25">
        <v>18.36</v>
      </c>
      <c r="Y99" s="43"/>
      <c r="Z99" s="5">
        <v>5</v>
      </c>
      <c r="AA99" s="25" t="s">
        <v>95</v>
      </c>
      <c r="AB99" s="25">
        <v>33.706276282013469</v>
      </c>
      <c r="AC99" s="25">
        <v>34.554024912589988</v>
      </c>
      <c r="AD99" s="25">
        <v>32.641852037496641</v>
      </c>
      <c r="AE99" s="25">
        <v>40.303115660888928</v>
      </c>
    </row>
    <row r="100" spans="2:31" x14ac:dyDescent="0.25">
      <c r="B100" s="43"/>
      <c r="C100" s="5">
        <v>5</v>
      </c>
      <c r="D100" s="4" t="s">
        <v>95</v>
      </c>
      <c r="E100" s="4" t="s">
        <v>95</v>
      </c>
      <c r="F100" s="4" t="s">
        <v>95</v>
      </c>
      <c r="I100" s="43"/>
      <c r="J100" s="5">
        <v>5</v>
      </c>
      <c r="K100" s="4" t="s">
        <v>95</v>
      </c>
      <c r="L100" s="4" t="s">
        <v>95</v>
      </c>
      <c r="M100" s="4" t="s">
        <v>95</v>
      </c>
      <c r="P100" s="43"/>
      <c r="Q100" s="5">
        <v>6</v>
      </c>
      <c r="R100" s="4" t="s">
        <v>95</v>
      </c>
      <c r="S100" s="4" t="s">
        <v>95</v>
      </c>
      <c r="T100" s="4" t="s">
        <v>95</v>
      </c>
      <c r="U100" s="4" t="s">
        <v>95</v>
      </c>
      <c r="V100" s="25">
        <v>82.34</v>
      </c>
      <c r="Y100" s="43"/>
      <c r="Z100" s="5">
        <v>6</v>
      </c>
      <c r="AA100" s="25" t="s">
        <v>95</v>
      </c>
      <c r="AB100" s="25">
        <v>25.135793427988091</v>
      </c>
      <c r="AC100" s="25">
        <v>28.98830490539639</v>
      </c>
      <c r="AD100" s="25">
        <v>47.569444444444443</v>
      </c>
      <c r="AE100" s="25">
        <v>24.027777777777779</v>
      </c>
    </row>
    <row r="101" spans="2:31" x14ac:dyDescent="0.25">
      <c r="B101" s="43"/>
      <c r="C101" s="5">
        <v>6</v>
      </c>
      <c r="D101" s="4" t="s">
        <v>95</v>
      </c>
      <c r="E101" s="4" t="s">
        <v>95</v>
      </c>
      <c r="F101" s="4" t="s">
        <v>95</v>
      </c>
      <c r="I101" s="43"/>
      <c r="J101" s="5">
        <v>6</v>
      </c>
      <c r="K101" s="4" t="s">
        <v>95</v>
      </c>
      <c r="L101" s="4" t="s">
        <v>95</v>
      </c>
      <c r="M101" s="4" t="s">
        <v>95</v>
      </c>
      <c r="P101" s="43"/>
      <c r="Q101" s="5">
        <v>7</v>
      </c>
      <c r="R101" s="4" t="s">
        <v>95</v>
      </c>
      <c r="S101" s="4" t="s">
        <v>95</v>
      </c>
      <c r="T101" s="4" t="s">
        <v>95</v>
      </c>
      <c r="U101" s="4" t="s">
        <v>95</v>
      </c>
      <c r="V101" s="4" t="s">
        <v>95</v>
      </c>
      <c r="Y101" s="43"/>
      <c r="Z101" s="5">
        <v>7</v>
      </c>
      <c r="AA101" s="25" t="s">
        <v>95</v>
      </c>
      <c r="AB101" s="25" t="s">
        <v>95</v>
      </c>
      <c r="AC101" s="25" t="s">
        <v>95</v>
      </c>
      <c r="AD101" s="25" t="s">
        <v>95</v>
      </c>
      <c r="AE101" s="25" t="s">
        <v>95</v>
      </c>
    </row>
    <row r="102" spans="2:31" x14ac:dyDescent="0.25">
      <c r="B102" s="43"/>
      <c r="C102" s="5">
        <v>7</v>
      </c>
      <c r="D102" s="4" t="s">
        <v>95</v>
      </c>
      <c r="E102" s="4" t="s">
        <v>95</v>
      </c>
      <c r="F102" s="4" t="s">
        <v>95</v>
      </c>
      <c r="I102" s="43"/>
      <c r="J102" s="5">
        <v>7</v>
      </c>
      <c r="K102" s="4" t="s">
        <v>95</v>
      </c>
      <c r="L102" s="4" t="s">
        <v>95</v>
      </c>
      <c r="M102" s="4" t="s">
        <v>95</v>
      </c>
      <c r="P102" s="43"/>
      <c r="Q102" s="5">
        <v>8</v>
      </c>
      <c r="R102" s="4" t="s">
        <v>95</v>
      </c>
      <c r="S102" s="4" t="s">
        <v>95</v>
      </c>
      <c r="T102" s="4" t="s">
        <v>95</v>
      </c>
      <c r="U102" s="4" t="s">
        <v>95</v>
      </c>
      <c r="V102" s="4" t="s">
        <v>95</v>
      </c>
      <c r="Y102" s="43"/>
      <c r="Z102" s="5">
        <v>8</v>
      </c>
      <c r="AA102" s="4" t="s">
        <v>95</v>
      </c>
      <c r="AB102" s="4" t="s">
        <v>95</v>
      </c>
      <c r="AC102" s="4" t="s">
        <v>95</v>
      </c>
      <c r="AD102" s="4" t="s">
        <v>95</v>
      </c>
      <c r="AE102" s="4" t="s">
        <v>95</v>
      </c>
    </row>
    <row r="103" spans="2:31" x14ac:dyDescent="0.25">
      <c r="B103" s="43"/>
      <c r="C103" s="5">
        <v>8</v>
      </c>
      <c r="D103" s="4" t="s">
        <v>95</v>
      </c>
      <c r="E103" s="4" t="s">
        <v>95</v>
      </c>
      <c r="F103" s="4" t="s">
        <v>95</v>
      </c>
      <c r="I103" s="43"/>
      <c r="J103" s="5">
        <v>8</v>
      </c>
      <c r="K103" s="4" t="s">
        <v>95</v>
      </c>
      <c r="L103" s="4" t="s">
        <v>95</v>
      </c>
      <c r="M103" s="4" t="s">
        <v>95</v>
      </c>
      <c r="P103" s="44"/>
      <c r="Q103" s="5">
        <v>9</v>
      </c>
      <c r="R103" s="4" t="s">
        <v>95</v>
      </c>
      <c r="S103" s="4" t="s">
        <v>95</v>
      </c>
      <c r="T103" s="4" t="s">
        <v>95</v>
      </c>
      <c r="U103" s="4" t="s">
        <v>95</v>
      </c>
      <c r="V103" s="4" t="s">
        <v>95</v>
      </c>
      <c r="Y103" s="44"/>
      <c r="Z103" s="5">
        <v>9</v>
      </c>
      <c r="AA103" s="4" t="s">
        <v>95</v>
      </c>
      <c r="AB103" s="4" t="s">
        <v>95</v>
      </c>
      <c r="AC103" s="4" t="s">
        <v>95</v>
      </c>
      <c r="AD103" s="4" t="s">
        <v>95</v>
      </c>
      <c r="AE103" s="4" t="s">
        <v>95</v>
      </c>
    </row>
    <row r="104" spans="2:31" x14ac:dyDescent="0.25">
      <c r="B104" s="44"/>
      <c r="C104" s="5">
        <v>9</v>
      </c>
      <c r="D104" s="4" t="s">
        <v>95</v>
      </c>
      <c r="E104" s="4" t="s">
        <v>95</v>
      </c>
      <c r="F104" s="4" t="s">
        <v>95</v>
      </c>
      <c r="I104" s="44"/>
      <c r="J104" s="5">
        <v>9</v>
      </c>
      <c r="K104" s="4" t="s">
        <v>95</v>
      </c>
      <c r="L104" s="4" t="s">
        <v>95</v>
      </c>
      <c r="M104" s="4" t="s">
        <v>95</v>
      </c>
    </row>
    <row r="108" spans="2:31" x14ac:dyDescent="0.25">
      <c r="P108" s="6"/>
      <c r="Q108" s="40" t="s">
        <v>122</v>
      </c>
      <c r="R108" s="40"/>
      <c r="S108" s="40"/>
      <c r="T108" s="40"/>
      <c r="U108" s="40"/>
      <c r="V108" s="40"/>
      <c r="Y108" s="6"/>
      <c r="Z108" s="40" t="s">
        <v>96</v>
      </c>
      <c r="AA108" s="40"/>
      <c r="AB108" s="40"/>
      <c r="AC108" s="40"/>
      <c r="AD108" s="40"/>
      <c r="AE108" s="40"/>
    </row>
    <row r="109" spans="2:31" x14ac:dyDescent="0.25">
      <c r="P109" s="7"/>
      <c r="Q109" s="7" t="s">
        <v>85</v>
      </c>
      <c r="R109" s="41" t="s">
        <v>60</v>
      </c>
      <c r="S109" s="41"/>
      <c r="T109" s="41"/>
      <c r="U109" s="41"/>
      <c r="V109" s="41"/>
      <c r="Y109" s="7"/>
      <c r="Z109" s="7" t="s">
        <v>85</v>
      </c>
      <c r="AA109" s="41" t="s">
        <v>60</v>
      </c>
      <c r="AB109" s="41"/>
      <c r="AC109" s="41"/>
      <c r="AD109" s="41"/>
      <c r="AE109" s="41"/>
    </row>
    <row r="110" spans="2:31" x14ac:dyDescent="0.25">
      <c r="P110" s="42" t="s">
        <v>59</v>
      </c>
      <c r="Q110" s="7" t="s">
        <v>14</v>
      </c>
      <c r="R110" s="5">
        <v>1</v>
      </c>
      <c r="S110" s="5">
        <v>2</v>
      </c>
      <c r="T110" s="5">
        <v>3</v>
      </c>
      <c r="U110" s="5">
        <v>4</v>
      </c>
      <c r="V110" s="5">
        <v>5</v>
      </c>
      <c r="Y110" s="42" t="s">
        <v>59</v>
      </c>
      <c r="Z110" s="7" t="s">
        <v>21</v>
      </c>
      <c r="AA110" s="5">
        <v>1</v>
      </c>
      <c r="AB110" s="5">
        <v>2</v>
      </c>
      <c r="AC110" s="5">
        <v>3</v>
      </c>
      <c r="AD110" s="5">
        <v>4</v>
      </c>
      <c r="AE110" s="5">
        <v>5</v>
      </c>
    </row>
    <row r="111" spans="2:31" x14ac:dyDescent="0.25">
      <c r="P111" s="43"/>
      <c r="Q111" s="5">
        <v>1</v>
      </c>
      <c r="R111" s="25">
        <v>19.899999999999999</v>
      </c>
      <c r="S111" s="25" t="s">
        <v>95</v>
      </c>
      <c r="T111" s="25" t="s">
        <v>95</v>
      </c>
      <c r="U111" s="25" t="s">
        <v>95</v>
      </c>
      <c r="V111" s="25" t="s">
        <v>95</v>
      </c>
      <c r="Y111" s="43"/>
      <c r="Z111" s="5">
        <v>1</v>
      </c>
      <c r="AA111" s="25">
        <v>21.938775510204081</v>
      </c>
      <c r="AB111" s="25" t="s">
        <v>95</v>
      </c>
      <c r="AC111" s="25" t="s">
        <v>95</v>
      </c>
      <c r="AD111" s="25" t="s">
        <v>95</v>
      </c>
      <c r="AE111" s="4" t="s">
        <v>95</v>
      </c>
    </row>
    <row r="112" spans="2:31" x14ac:dyDescent="0.25">
      <c r="P112" s="43"/>
      <c r="Q112" s="5">
        <v>2</v>
      </c>
      <c r="R112" s="25">
        <v>10.8</v>
      </c>
      <c r="S112" s="25">
        <v>14.23</v>
      </c>
      <c r="T112" s="25" t="s">
        <v>95</v>
      </c>
      <c r="U112" s="25" t="s">
        <v>95</v>
      </c>
      <c r="V112" s="25" t="s">
        <v>95</v>
      </c>
      <c r="Y112" s="43"/>
      <c r="Z112" s="5">
        <v>2</v>
      </c>
      <c r="AA112" s="25">
        <v>23.27152014652015</v>
      </c>
      <c r="AB112" s="25">
        <v>28.123498127684989</v>
      </c>
      <c r="AC112" s="25" t="s">
        <v>95</v>
      </c>
      <c r="AD112" s="25" t="s">
        <v>95</v>
      </c>
      <c r="AE112" s="4" t="s">
        <v>95</v>
      </c>
    </row>
    <row r="113" spans="16:31" x14ac:dyDescent="0.25">
      <c r="P113" s="43"/>
      <c r="Q113" s="5">
        <v>3</v>
      </c>
      <c r="R113" s="25">
        <v>16.21</v>
      </c>
      <c r="S113" s="25">
        <v>18.73</v>
      </c>
      <c r="T113" s="25">
        <v>19.14</v>
      </c>
      <c r="U113" s="25" t="s">
        <v>95</v>
      </c>
      <c r="V113" s="25" t="s">
        <v>95</v>
      </c>
      <c r="Y113" s="43"/>
      <c r="Z113" s="5">
        <v>3</v>
      </c>
      <c r="AA113" s="25" t="s">
        <v>95</v>
      </c>
      <c r="AB113" s="25">
        <v>24.33790044091711</v>
      </c>
      <c r="AC113" s="25" t="s">
        <v>95</v>
      </c>
      <c r="AD113" s="25" t="s">
        <v>95</v>
      </c>
      <c r="AE113" s="4" t="s">
        <v>95</v>
      </c>
    </row>
    <row r="114" spans="16:31" x14ac:dyDescent="0.25">
      <c r="P114" s="43"/>
      <c r="Q114" s="5">
        <v>4</v>
      </c>
      <c r="R114" s="25" t="s">
        <v>95</v>
      </c>
      <c r="S114" s="25">
        <v>27.12</v>
      </c>
      <c r="T114" s="25">
        <v>17.22</v>
      </c>
      <c r="U114" s="25" t="s">
        <v>95</v>
      </c>
      <c r="V114" s="25" t="s">
        <v>95</v>
      </c>
      <c r="Y114" s="43"/>
      <c r="Z114" s="5">
        <v>4</v>
      </c>
      <c r="AA114" s="25" t="s">
        <v>95</v>
      </c>
      <c r="AB114" s="25">
        <v>26.214927048260378</v>
      </c>
      <c r="AC114" s="25">
        <v>30.196588308716461</v>
      </c>
      <c r="AD114" s="25" t="s">
        <v>95</v>
      </c>
      <c r="AE114" s="4" t="s">
        <v>95</v>
      </c>
    </row>
    <row r="115" spans="16:31" x14ac:dyDescent="0.25">
      <c r="P115" s="43"/>
      <c r="Q115" s="5">
        <v>5</v>
      </c>
      <c r="R115" s="25" t="s">
        <v>95</v>
      </c>
      <c r="S115" s="25" t="s">
        <v>95</v>
      </c>
      <c r="T115" s="25">
        <v>12.96</v>
      </c>
      <c r="U115" s="25" t="s">
        <v>95</v>
      </c>
      <c r="V115" s="25" t="s">
        <v>95</v>
      </c>
      <c r="Y115" s="43"/>
      <c r="Z115" s="5">
        <v>5</v>
      </c>
      <c r="AA115" s="25" t="s">
        <v>95</v>
      </c>
      <c r="AB115" s="25" t="s">
        <v>95</v>
      </c>
      <c r="AC115" s="25" t="s">
        <v>95</v>
      </c>
      <c r="AD115" s="25" t="s">
        <v>95</v>
      </c>
      <c r="AE115" s="4" t="s">
        <v>95</v>
      </c>
    </row>
    <row r="116" spans="16:31" x14ac:dyDescent="0.25">
      <c r="P116" s="43"/>
      <c r="Q116" s="5">
        <v>6</v>
      </c>
      <c r="R116" s="25" t="s">
        <v>95</v>
      </c>
      <c r="S116" s="25" t="s">
        <v>95</v>
      </c>
      <c r="T116" s="25">
        <v>47.41</v>
      </c>
      <c r="U116" s="25" t="s">
        <v>95</v>
      </c>
      <c r="V116" s="25">
        <v>57.39</v>
      </c>
      <c r="Y116" s="43"/>
      <c r="Z116" s="5">
        <v>6</v>
      </c>
      <c r="AA116" s="4" t="s">
        <v>95</v>
      </c>
      <c r="AB116" s="4" t="s">
        <v>95</v>
      </c>
      <c r="AC116" s="4" t="s">
        <v>95</v>
      </c>
      <c r="AD116" s="4" t="s">
        <v>95</v>
      </c>
      <c r="AE116" s="4" t="s">
        <v>95</v>
      </c>
    </row>
    <row r="117" spans="16:31" x14ac:dyDescent="0.25">
      <c r="P117" s="43"/>
      <c r="Q117" s="5">
        <v>7</v>
      </c>
      <c r="R117" s="25" t="s">
        <v>95</v>
      </c>
      <c r="S117" s="25" t="s">
        <v>95</v>
      </c>
      <c r="T117" s="25" t="s">
        <v>95</v>
      </c>
      <c r="U117" s="25" t="s">
        <v>95</v>
      </c>
      <c r="V117" s="25" t="s">
        <v>95</v>
      </c>
      <c r="Y117" s="43"/>
      <c r="Z117" s="5">
        <v>7</v>
      </c>
      <c r="AA117" s="4" t="s">
        <v>95</v>
      </c>
      <c r="AB117" s="4" t="s">
        <v>95</v>
      </c>
      <c r="AC117" s="4" t="s">
        <v>95</v>
      </c>
      <c r="AD117" s="4" t="s">
        <v>95</v>
      </c>
      <c r="AE117" s="4" t="s">
        <v>95</v>
      </c>
    </row>
    <row r="118" spans="16:31" x14ac:dyDescent="0.25">
      <c r="P118" s="43"/>
      <c r="Q118" s="5">
        <v>8</v>
      </c>
      <c r="R118" s="25" t="s">
        <v>95</v>
      </c>
      <c r="S118" s="25" t="s">
        <v>95</v>
      </c>
      <c r="T118" s="25" t="s">
        <v>95</v>
      </c>
      <c r="U118" s="25" t="s">
        <v>95</v>
      </c>
      <c r="V118" s="25" t="s">
        <v>95</v>
      </c>
      <c r="Y118" s="43"/>
      <c r="Z118" s="5">
        <v>8</v>
      </c>
      <c r="AA118" s="4" t="s">
        <v>95</v>
      </c>
      <c r="AB118" s="4" t="s">
        <v>95</v>
      </c>
      <c r="AC118" s="4" t="s">
        <v>95</v>
      </c>
      <c r="AD118" s="4" t="s">
        <v>95</v>
      </c>
      <c r="AE118" s="4" t="s">
        <v>95</v>
      </c>
    </row>
    <row r="119" spans="16:31" x14ac:dyDescent="0.25">
      <c r="P119" s="44"/>
      <c r="Q119" s="5">
        <v>9</v>
      </c>
      <c r="R119" s="25" t="s">
        <v>95</v>
      </c>
      <c r="S119" s="25" t="s">
        <v>95</v>
      </c>
      <c r="T119" s="25" t="s">
        <v>95</v>
      </c>
      <c r="U119" s="25" t="s">
        <v>95</v>
      </c>
      <c r="V119" s="25" t="s">
        <v>95</v>
      </c>
      <c r="Y119" s="44"/>
      <c r="Z119" s="5">
        <v>9</v>
      </c>
      <c r="AA119" s="4" t="s">
        <v>95</v>
      </c>
      <c r="AB119" s="4" t="s">
        <v>95</v>
      </c>
      <c r="AC119" s="4" t="s">
        <v>95</v>
      </c>
      <c r="AD119" s="4" t="s">
        <v>95</v>
      </c>
      <c r="AE119" s="4" t="s">
        <v>95</v>
      </c>
    </row>
    <row r="123" spans="16:31" x14ac:dyDescent="0.25">
      <c r="P123" s="6"/>
      <c r="Q123" s="40" t="s">
        <v>122</v>
      </c>
      <c r="R123" s="40"/>
      <c r="S123" s="40"/>
      <c r="T123" s="40"/>
      <c r="U123" s="40"/>
      <c r="V123" s="40"/>
      <c r="Y123" s="6"/>
      <c r="Z123" s="40" t="s">
        <v>96</v>
      </c>
      <c r="AA123" s="40"/>
      <c r="AB123" s="40"/>
      <c r="AC123" s="40"/>
      <c r="AD123" s="40"/>
      <c r="AE123" s="40"/>
    </row>
    <row r="124" spans="16:31" x14ac:dyDescent="0.25">
      <c r="P124" s="7"/>
      <c r="Q124" s="7" t="s">
        <v>85</v>
      </c>
      <c r="R124" s="41" t="s">
        <v>60</v>
      </c>
      <c r="S124" s="41"/>
      <c r="T124" s="41"/>
      <c r="U124" s="41"/>
      <c r="V124" s="41"/>
      <c r="Y124" s="7"/>
      <c r="Z124" s="7" t="s">
        <v>85</v>
      </c>
      <c r="AA124" s="41" t="s">
        <v>60</v>
      </c>
      <c r="AB124" s="41"/>
      <c r="AC124" s="41"/>
      <c r="AD124" s="41"/>
      <c r="AE124" s="41"/>
    </row>
    <row r="125" spans="16:31" x14ac:dyDescent="0.25">
      <c r="P125" s="42" t="s">
        <v>59</v>
      </c>
      <c r="Q125" s="7" t="s">
        <v>9</v>
      </c>
      <c r="R125" s="5">
        <v>1</v>
      </c>
      <c r="S125" s="5">
        <v>2</v>
      </c>
      <c r="T125" s="5">
        <v>3</v>
      </c>
      <c r="U125" s="5">
        <v>4</v>
      </c>
      <c r="V125" s="5">
        <v>5</v>
      </c>
      <c r="Y125" s="42" t="s">
        <v>59</v>
      </c>
      <c r="Z125" s="7" t="s">
        <v>48</v>
      </c>
      <c r="AA125" s="5">
        <v>1</v>
      </c>
      <c r="AB125" s="5">
        <v>2</v>
      </c>
      <c r="AC125" s="5">
        <v>3</v>
      </c>
      <c r="AD125" s="5">
        <v>4</v>
      </c>
      <c r="AE125" s="5">
        <v>5</v>
      </c>
    </row>
    <row r="126" spans="16:31" x14ac:dyDescent="0.25">
      <c r="P126" s="43"/>
      <c r="Q126" s="5">
        <v>1</v>
      </c>
      <c r="R126" s="4" t="s">
        <v>95</v>
      </c>
      <c r="S126" s="4" t="s">
        <v>95</v>
      </c>
      <c r="T126" s="4" t="s">
        <v>95</v>
      </c>
      <c r="U126" s="4" t="s">
        <v>95</v>
      </c>
      <c r="V126" s="4" t="s">
        <v>95</v>
      </c>
      <c r="Y126" s="43"/>
      <c r="Z126" s="5">
        <v>1</v>
      </c>
      <c r="AA126" s="4" t="s">
        <v>95</v>
      </c>
      <c r="AB126" s="4" t="s">
        <v>95</v>
      </c>
      <c r="AC126" s="4" t="s">
        <v>95</v>
      </c>
      <c r="AD126" s="4" t="s">
        <v>95</v>
      </c>
      <c r="AE126" s="4" t="s">
        <v>95</v>
      </c>
    </row>
    <row r="127" spans="16:31" x14ac:dyDescent="0.25">
      <c r="P127" s="43"/>
      <c r="Q127" s="5">
        <v>2</v>
      </c>
      <c r="R127" s="25">
        <v>12</v>
      </c>
      <c r="S127" s="25">
        <v>16.170000000000002</v>
      </c>
      <c r="T127" s="25" t="s">
        <v>95</v>
      </c>
      <c r="U127" s="25" t="s">
        <v>95</v>
      </c>
      <c r="V127" s="25" t="s">
        <v>95</v>
      </c>
      <c r="Y127" s="43"/>
      <c r="Z127" s="5">
        <v>2</v>
      </c>
      <c r="AA127" s="25">
        <v>19.69622331691297</v>
      </c>
      <c r="AB127" s="25" t="s">
        <v>95</v>
      </c>
      <c r="AC127" s="25" t="s">
        <v>95</v>
      </c>
      <c r="AD127" s="4" t="s">
        <v>95</v>
      </c>
      <c r="AE127" s="4" t="s">
        <v>95</v>
      </c>
    </row>
    <row r="128" spans="16:31" x14ac:dyDescent="0.25">
      <c r="P128" s="43"/>
      <c r="Q128" s="5">
        <v>3</v>
      </c>
      <c r="R128" s="25">
        <v>17.02</v>
      </c>
      <c r="S128" s="25">
        <v>17.829999999999998</v>
      </c>
      <c r="T128" s="25">
        <v>23.15</v>
      </c>
      <c r="U128" s="25">
        <v>40.58</v>
      </c>
      <c r="V128" s="25" t="s">
        <v>95</v>
      </c>
      <c r="Y128" s="43"/>
      <c r="Z128" s="5">
        <v>3</v>
      </c>
      <c r="AA128" s="25" t="s">
        <v>95</v>
      </c>
      <c r="AB128" s="25">
        <v>27.291666666666661</v>
      </c>
      <c r="AC128" s="25" t="s">
        <v>95</v>
      </c>
      <c r="AD128" s="4" t="s">
        <v>95</v>
      </c>
      <c r="AE128" s="4" t="s">
        <v>95</v>
      </c>
    </row>
    <row r="129" spans="16:31" x14ac:dyDescent="0.25">
      <c r="P129" s="43"/>
      <c r="Q129" s="5">
        <v>4</v>
      </c>
      <c r="R129" s="25" t="s">
        <v>95</v>
      </c>
      <c r="S129" s="25">
        <v>16.600000000000001</v>
      </c>
      <c r="T129" s="25">
        <v>18.21</v>
      </c>
      <c r="U129" s="25">
        <v>32.479999999999997</v>
      </c>
      <c r="V129" s="25">
        <v>43</v>
      </c>
      <c r="Y129" s="43"/>
      <c r="Z129" s="5">
        <v>4</v>
      </c>
      <c r="AA129" s="4" t="s">
        <v>95</v>
      </c>
      <c r="AB129" s="4" t="s">
        <v>95</v>
      </c>
      <c r="AC129" s="4" t="s">
        <v>95</v>
      </c>
      <c r="AD129" s="4" t="s">
        <v>95</v>
      </c>
      <c r="AE129" s="4" t="s">
        <v>95</v>
      </c>
    </row>
    <row r="130" spans="16:31" x14ac:dyDescent="0.25">
      <c r="P130" s="43"/>
      <c r="Q130" s="5">
        <v>5</v>
      </c>
      <c r="R130" s="25" t="s">
        <v>95</v>
      </c>
      <c r="S130" s="25">
        <v>6.58</v>
      </c>
      <c r="T130" s="25">
        <v>10.76</v>
      </c>
      <c r="U130" s="25">
        <v>16.2</v>
      </c>
      <c r="V130" s="25">
        <v>27.51</v>
      </c>
      <c r="Y130" s="43"/>
      <c r="Z130" s="5">
        <v>5</v>
      </c>
      <c r="AA130" s="4" t="s">
        <v>95</v>
      </c>
      <c r="AB130" s="4" t="s">
        <v>95</v>
      </c>
      <c r="AC130" s="4" t="s">
        <v>95</v>
      </c>
      <c r="AD130" s="4" t="s">
        <v>95</v>
      </c>
      <c r="AE130" s="4" t="s">
        <v>95</v>
      </c>
    </row>
    <row r="131" spans="16:31" x14ac:dyDescent="0.25">
      <c r="P131" s="43"/>
      <c r="Q131" s="5">
        <v>6</v>
      </c>
      <c r="R131" s="25" t="s">
        <v>95</v>
      </c>
      <c r="S131" s="25">
        <v>24.95</v>
      </c>
      <c r="T131" s="25">
        <v>25.15</v>
      </c>
      <c r="U131" s="25">
        <v>57.88</v>
      </c>
      <c r="V131" s="25">
        <v>94.81</v>
      </c>
      <c r="Y131" s="43"/>
      <c r="Z131" s="5">
        <v>6</v>
      </c>
      <c r="AA131" s="4" t="s">
        <v>95</v>
      </c>
      <c r="AB131" s="4" t="s">
        <v>95</v>
      </c>
      <c r="AC131" s="4" t="s">
        <v>95</v>
      </c>
      <c r="AD131" s="4" t="s">
        <v>95</v>
      </c>
      <c r="AE131" s="4" t="s">
        <v>95</v>
      </c>
    </row>
    <row r="132" spans="16:31" x14ac:dyDescent="0.25">
      <c r="P132" s="43"/>
      <c r="Q132" s="5">
        <v>7</v>
      </c>
      <c r="R132" s="25" t="s">
        <v>95</v>
      </c>
      <c r="S132" s="25" t="s">
        <v>95</v>
      </c>
      <c r="T132" s="25" t="s">
        <v>95</v>
      </c>
      <c r="U132" s="25" t="s">
        <v>95</v>
      </c>
      <c r="V132" s="25" t="s">
        <v>95</v>
      </c>
      <c r="Y132" s="43"/>
      <c r="Z132" s="5">
        <v>7</v>
      </c>
      <c r="AA132" s="4" t="s">
        <v>95</v>
      </c>
      <c r="AB132" s="4" t="s">
        <v>95</v>
      </c>
      <c r="AC132" s="4" t="s">
        <v>95</v>
      </c>
      <c r="AD132" s="4" t="s">
        <v>95</v>
      </c>
      <c r="AE132" s="4" t="s">
        <v>95</v>
      </c>
    </row>
    <row r="133" spans="16:31" x14ac:dyDescent="0.25">
      <c r="P133" s="43"/>
      <c r="Q133" s="5">
        <v>8</v>
      </c>
      <c r="R133" s="25" t="s">
        <v>95</v>
      </c>
      <c r="S133" s="25" t="s">
        <v>95</v>
      </c>
      <c r="T133" s="25" t="s">
        <v>95</v>
      </c>
      <c r="U133" s="25" t="s">
        <v>95</v>
      </c>
      <c r="V133" s="25" t="s">
        <v>95</v>
      </c>
      <c r="Y133" s="43"/>
      <c r="Z133" s="5">
        <v>8</v>
      </c>
      <c r="AA133" s="4" t="s">
        <v>95</v>
      </c>
      <c r="AB133" s="4" t="s">
        <v>95</v>
      </c>
      <c r="AC133" s="4" t="s">
        <v>95</v>
      </c>
      <c r="AD133" s="4" t="s">
        <v>95</v>
      </c>
      <c r="AE133" s="4" t="s">
        <v>95</v>
      </c>
    </row>
    <row r="134" spans="16:31" x14ac:dyDescent="0.25">
      <c r="P134" s="44"/>
      <c r="Q134" s="5">
        <v>9</v>
      </c>
      <c r="R134" s="4" t="s">
        <v>95</v>
      </c>
      <c r="S134" s="4" t="s">
        <v>95</v>
      </c>
      <c r="T134" s="4" t="s">
        <v>95</v>
      </c>
      <c r="U134" s="4" t="s">
        <v>95</v>
      </c>
      <c r="V134" s="4" t="s">
        <v>95</v>
      </c>
      <c r="Y134" s="44"/>
      <c r="Z134" s="5">
        <v>9</v>
      </c>
      <c r="AA134" s="4" t="s">
        <v>95</v>
      </c>
      <c r="AB134" s="4" t="s">
        <v>95</v>
      </c>
      <c r="AC134" s="4" t="s">
        <v>95</v>
      </c>
      <c r="AD134" s="4" t="s">
        <v>95</v>
      </c>
      <c r="AE134" s="4" t="s">
        <v>95</v>
      </c>
    </row>
    <row r="138" spans="16:31" x14ac:dyDescent="0.25">
      <c r="P138" s="6"/>
      <c r="Q138" s="40" t="s">
        <v>122</v>
      </c>
      <c r="R138" s="40"/>
      <c r="S138" s="40"/>
      <c r="T138" s="40"/>
      <c r="U138" s="40"/>
      <c r="V138" s="40"/>
      <c r="Y138" s="6"/>
      <c r="Z138" s="40" t="s">
        <v>96</v>
      </c>
      <c r="AA138" s="40"/>
      <c r="AB138" s="40"/>
      <c r="AC138" s="40"/>
      <c r="AD138" s="40"/>
      <c r="AE138" s="40"/>
    </row>
    <row r="139" spans="16:31" x14ac:dyDescent="0.25">
      <c r="P139" s="7"/>
      <c r="Q139" s="7" t="s">
        <v>85</v>
      </c>
      <c r="R139" s="41" t="s">
        <v>60</v>
      </c>
      <c r="S139" s="41"/>
      <c r="T139" s="41"/>
      <c r="U139" s="41"/>
      <c r="V139" s="41"/>
      <c r="Y139" s="7"/>
      <c r="Z139" s="7" t="s">
        <v>85</v>
      </c>
      <c r="AA139" s="41" t="s">
        <v>60</v>
      </c>
      <c r="AB139" s="41"/>
      <c r="AC139" s="41"/>
      <c r="AD139" s="41"/>
      <c r="AE139" s="41"/>
    </row>
    <row r="140" spans="16:31" x14ac:dyDescent="0.25">
      <c r="P140" s="42" t="s">
        <v>59</v>
      </c>
      <c r="Q140" s="7" t="s">
        <v>16</v>
      </c>
      <c r="R140" s="5">
        <v>1</v>
      </c>
      <c r="S140" s="5">
        <v>2</v>
      </c>
      <c r="T140" s="5">
        <v>3</v>
      </c>
      <c r="U140" s="5">
        <v>4</v>
      </c>
      <c r="V140" s="5">
        <v>5</v>
      </c>
      <c r="Y140" s="42" t="s">
        <v>59</v>
      </c>
      <c r="Z140" s="7" t="s">
        <v>33</v>
      </c>
      <c r="AA140" s="5">
        <v>1</v>
      </c>
      <c r="AB140" s="5">
        <v>2</v>
      </c>
      <c r="AC140" s="5">
        <v>3</v>
      </c>
      <c r="AD140" s="5">
        <v>4</v>
      </c>
      <c r="AE140" s="5">
        <v>5</v>
      </c>
    </row>
    <row r="141" spans="16:31" x14ac:dyDescent="0.25">
      <c r="P141" s="43"/>
      <c r="Q141" s="5">
        <v>1</v>
      </c>
      <c r="R141" s="25">
        <v>23.22</v>
      </c>
      <c r="S141" s="25" t="s">
        <v>95</v>
      </c>
      <c r="T141" s="25" t="s">
        <v>95</v>
      </c>
      <c r="U141" s="25" t="s">
        <v>95</v>
      </c>
      <c r="V141" s="25" t="s">
        <v>95</v>
      </c>
      <c r="Y141" s="43"/>
      <c r="Z141" s="5">
        <v>1</v>
      </c>
      <c r="AA141" s="25">
        <v>27.966183574879231</v>
      </c>
      <c r="AB141" s="25">
        <v>31.666666666666671</v>
      </c>
      <c r="AC141" s="25" t="s">
        <v>95</v>
      </c>
      <c r="AD141" s="25" t="s">
        <v>95</v>
      </c>
      <c r="AE141" s="25" t="s">
        <v>95</v>
      </c>
    </row>
    <row r="142" spans="16:31" x14ac:dyDescent="0.25">
      <c r="P142" s="43"/>
      <c r="Q142" s="5">
        <v>2</v>
      </c>
      <c r="R142" s="25" t="s">
        <v>95</v>
      </c>
      <c r="S142" s="25">
        <v>21.88</v>
      </c>
      <c r="T142" s="25" t="s">
        <v>95</v>
      </c>
      <c r="U142" s="25" t="s">
        <v>95</v>
      </c>
      <c r="V142" s="25" t="s">
        <v>95</v>
      </c>
      <c r="Y142" s="43"/>
      <c r="Z142" s="5">
        <v>2</v>
      </c>
      <c r="AA142" s="25" t="s">
        <v>95</v>
      </c>
      <c r="AB142" s="25">
        <v>33.030361015435638</v>
      </c>
      <c r="AC142" s="25" t="s">
        <v>95</v>
      </c>
      <c r="AD142" s="25" t="s">
        <v>95</v>
      </c>
      <c r="AE142" s="25" t="s">
        <v>95</v>
      </c>
    </row>
    <row r="143" spans="16:31" x14ac:dyDescent="0.25">
      <c r="P143" s="43"/>
      <c r="Q143" s="5">
        <v>3</v>
      </c>
      <c r="R143" s="25">
        <v>11.14</v>
      </c>
      <c r="S143" s="25">
        <v>26.38</v>
      </c>
      <c r="T143" s="25" t="s">
        <v>95</v>
      </c>
      <c r="U143" s="25" t="s">
        <v>95</v>
      </c>
      <c r="V143" s="25" t="s">
        <v>95</v>
      </c>
      <c r="Y143" s="43"/>
      <c r="Z143" s="5">
        <v>3</v>
      </c>
      <c r="AA143" s="25">
        <v>20.833333333333329</v>
      </c>
      <c r="AB143" s="25">
        <v>25.721732200839469</v>
      </c>
      <c r="AC143" s="25">
        <v>43.619791666666657</v>
      </c>
      <c r="AD143" s="25">
        <v>23.854166666666671</v>
      </c>
      <c r="AE143" s="25" t="s">
        <v>95</v>
      </c>
    </row>
    <row r="144" spans="16:31" x14ac:dyDescent="0.25">
      <c r="P144" s="43"/>
      <c r="Q144" s="5">
        <v>4</v>
      </c>
      <c r="R144" s="25">
        <v>10.28</v>
      </c>
      <c r="S144" s="25">
        <v>17.7</v>
      </c>
      <c r="T144" s="25">
        <v>14.94</v>
      </c>
      <c r="U144" s="25" t="s">
        <v>95</v>
      </c>
      <c r="V144" s="25" t="s">
        <v>95</v>
      </c>
      <c r="Y144" s="43"/>
      <c r="Z144" s="5">
        <v>4</v>
      </c>
      <c r="AA144" s="25" t="s">
        <v>95</v>
      </c>
      <c r="AB144" s="25">
        <v>25.694444444444439</v>
      </c>
      <c r="AC144" s="25">
        <v>20.79384527752763</v>
      </c>
      <c r="AD144" s="25">
        <v>35.453216374268997</v>
      </c>
      <c r="AE144" s="25">
        <v>26.260964912280699</v>
      </c>
    </row>
    <row r="145" spans="16:31" x14ac:dyDescent="0.25">
      <c r="P145" s="43"/>
      <c r="Q145" s="5">
        <v>5</v>
      </c>
      <c r="R145" s="25" t="s">
        <v>95</v>
      </c>
      <c r="S145" s="25" t="s">
        <v>95</v>
      </c>
      <c r="T145" s="25" t="s">
        <v>95</v>
      </c>
      <c r="U145" s="25" t="s">
        <v>95</v>
      </c>
      <c r="V145" s="25" t="s">
        <v>95</v>
      </c>
      <c r="Y145" s="43"/>
      <c r="Z145" s="5">
        <v>5</v>
      </c>
      <c r="AA145" s="25" t="s">
        <v>95</v>
      </c>
      <c r="AB145" s="25" t="s">
        <v>95</v>
      </c>
      <c r="AC145" s="25">
        <v>36.550595238095241</v>
      </c>
      <c r="AD145" s="25" t="s">
        <v>95</v>
      </c>
      <c r="AE145" s="25">
        <v>21.527777777777779</v>
      </c>
    </row>
    <row r="146" spans="16:31" x14ac:dyDescent="0.25">
      <c r="P146" s="43"/>
      <c r="Q146" s="5">
        <v>6</v>
      </c>
      <c r="R146" s="25" t="s">
        <v>95</v>
      </c>
      <c r="S146" s="25" t="s">
        <v>95</v>
      </c>
      <c r="T146" s="25" t="s">
        <v>95</v>
      </c>
      <c r="U146" s="25">
        <v>119.76</v>
      </c>
      <c r="V146" s="25" t="s">
        <v>95</v>
      </c>
      <c r="Y146" s="43"/>
      <c r="Z146" s="5">
        <v>6</v>
      </c>
      <c r="AA146" s="25" t="s">
        <v>95</v>
      </c>
      <c r="AB146" s="25" t="s">
        <v>95</v>
      </c>
      <c r="AC146" s="25" t="s">
        <v>95</v>
      </c>
      <c r="AD146" s="25" t="s">
        <v>95</v>
      </c>
      <c r="AE146" s="25" t="s">
        <v>95</v>
      </c>
    </row>
    <row r="147" spans="16:31" x14ac:dyDescent="0.25">
      <c r="P147" s="43"/>
      <c r="Q147" s="5">
        <v>7</v>
      </c>
      <c r="R147" s="25" t="s">
        <v>95</v>
      </c>
      <c r="S147" s="25" t="s">
        <v>95</v>
      </c>
      <c r="T147" s="25" t="s">
        <v>95</v>
      </c>
      <c r="U147" s="25" t="s">
        <v>95</v>
      </c>
      <c r="V147" s="25" t="s">
        <v>95</v>
      </c>
      <c r="Y147" s="43"/>
      <c r="Z147" s="5">
        <v>7</v>
      </c>
      <c r="AA147" s="25" t="s">
        <v>95</v>
      </c>
      <c r="AB147" s="25" t="s">
        <v>95</v>
      </c>
      <c r="AC147" s="25" t="s">
        <v>95</v>
      </c>
      <c r="AD147" s="25" t="s">
        <v>95</v>
      </c>
      <c r="AE147" s="25" t="s">
        <v>95</v>
      </c>
    </row>
    <row r="148" spans="16:31" x14ac:dyDescent="0.25">
      <c r="P148" s="43"/>
      <c r="Q148" s="5">
        <v>8</v>
      </c>
      <c r="R148" s="25" t="s">
        <v>95</v>
      </c>
      <c r="S148" s="25" t="s">
        <v>95</v>
      </c>
      <c r="T148" s="25" t="s">
        <v>95</v>
      </c>
      <c r="U148" s="25" t="s">
        <v>95</v>
      </c>
      <c r="V148" s="25" t="s">
        <v>95</v>
      </c>
      <c r="Y148" s="43"/>
      <c r="Z148" s="5">
        <v>8</v>
      </c>
      <c r="AA148" s="25" t="s">
        <v>95</v>
      </c>
      <c r="AB148" s="25" t="s">
        <v>95</v>
      </c>
      <c r="AC148" s="25" t="s">
        <v>95</v>
      </c>
      <c r="AD148" s="25" t="s">
        <v>95</v>
      </c>
      <c r="AE148" s="25" t="s">
        <v>95</v>
      </c>
    </row>
    <row r="149" spans="16:31" x14ac:dyDescent="0.25">
      <c r="P149" s="44"/>
      <c r="Q149" s="5">
        <v>9</v>
      </c>
      <c r="R149" s="25" t="s">
        <v>95</v>
      </c>
      <c r="S149" s="25" t="s">
        <v>95</v>
      </c>
      <c r="T149" s="25" t="s">
        <v>95</v>
      </c>
      <c r="U149" s="25" t="s">
        <v>95</v>
      </c>
      <c r="V149" s="25" t="s">
        <v>95</v>
      </c>
      <c r="Y149" s="44"/>
      <c r="Z149" s="5">
        <v>9</v>
      </c>
      <c r="AA149" s="25" t="s">
        <v>95</v>
      </c>
      <c r="AB149" s="25" t="s">
        <v>95</v>
      </c>
      <c r="AC149" s="25" t="s">
        <v>95</v>
      </c>
      <c r="AD149" s="25" t="s">
        <v>95</v>
      </c>
      <c r="AE149" s="25" t="s">
        <v>95</v>
      </c>
    </row>
    <row r="153" spans="16:31" x14ac:dyDescent="0.25">
      <c r="P153" s="6"/>
      <c r="Q153" s="40" t="s">
        <v>122</v>
      </c>
      <c r="R153" s="40"/>
      <c r="S153" s="40"/>
      <c r="T153" s="40"/>
      <c r="U153" s="40"/>
      <c r="V153" s="40"/>
      <c r="Y153" s="6"/>
      <c r="Z153" s="40" t="s">
        <v>96</v>
      </c>
      <c r="AA153" s="40"/>
      <c r="AB153" s="40"/>
      <c r="AC153" s="40"/>
      <c r="AD153" s="40"/>
      <c r="AE153" s="40"/>
    </row>
    <row r="154" spans="16:31" ht="15" customHeight="1" x14ac:dyDescent="0.25">
      <c r="P154" s="7"/>
      <c r="Q154" s="7" t="s">
        <v>85</v>
      </c>
      <c r="R154" s="41" t="s">
        <v>60</v>
      </c>
      <c r="S154" s="41"/>
      <c r="T154" s="41"/>
      <c r="U154" s="41"/>
      <c r="V154" s="41"/>
      <c r="Y154" s="7"/>
      <c r="Z154" s="7" t="s">
        <v>85</v>
      </c>
      <c r="AA154" s="41" t="s">
        <v>60</v>
      </c>
      <c r="AB154" s="41"/>
      <c r="AC154" s="41"/>
      <c r="AD154" s="41"/>
      <c r="AE154" s="41"/>
    </row>
    <row r="155" spans="16:31" x14ac:dyDescent="0.25">
      <c r="P155" s="42" t="s">
        <v>59</v>
      </c>
      <c r="Q155" s="7" t="s">
        <v>118</v>
      </c>
      <c r="R155" s="5">
        <v>1</v>
      </c>
      <c r="S155" s="5">
        <v>2</v>
      </c>
      <c r="T155" s="5">
        <v>3</v>
      </c>
      <c r="U155" s="5">
        <v>4</v>
      </c>
      <c r="V155" s="5">
        <v>5</v>
      </c>
      <c r="Y155" s="42" t="s">
        <v>59</v>
      </c>
      <c r="Z155" s="7" t="s">
        <v>25</v>
      </c>
      <c r="AA155" s="5">
        <v>1</v>
      </c>
      <c r="AB155" s="5">
        <v>2</v>
      </c>
      <c r="AC155" s="5">
        <v>3</v>
      </c>
      <c r="AD155" s="5">
        <v>4</v>
      </c>
      <c r="AE155" s="5">
        <v>5</v>
      </c>
    </row>
    <row r="156" spans="16:31" x14ac:dyDescent="0.25">
      <c r="P156" s="43"/>
      <c r="Q156" s="5">
        <v>1</v>
      </c>
      <c r="R156" s="4" t="s">
        <v>95</v>
      </c>
      <c r="S156" s="4" t="s">
        <v>95</v>
      </c>
      <c r="T156" s="4" t="s">
        <v>95</v>
      </c>
      <c r="U156" s="4" t="s">
        <v>95</v>
      </c>
      <c r="V156" s="4" t="s">
        <v>95</v>
      </c>
      <c r="Y156" s="43"/>
      <c r="Z156" s="5">
        <v>1</v>
      </c>
      <c r="AA156" s="25">
        <v>16.211329244698749</v>
      </c>
      <c r="AB156" s="25">
        <v>17.028985507246379</v>
      </c>
      <c r="AC156" s="25" t="s">
        <v>95</v>
      </c>
      <c r="AD156" s="25" t="s">
        <v>95</v>
      </c>
      <c r="AE156" s="25" t="s">
        <v>95</v>
      </c>
    </row>
    <row r="157" spans="16:31" x14ac:dyDescent="0.25">
      <c r="P157" s="43"/>
      <c r="Q157" s="5">
        <v>2</v>
      </c>
      <c r="R157" s="4" t="s">
        <v>95</v>
      </c>
      <c r="S157" s="25">
        <v>13.65</v>
      </c>
      <c r="T157" s="25" t="s">
        <v>95</v>
      </c>
      <c r="U157" s="24" t="s">
        <v>95</v>
      </c>
      <c r="V157" s="24" t="s">
        <v>95</v>
      </c>
      <c r="Y157" s="43"/>
      <c r="Z157" s="5">
        <v>2</v>
      </c>
      <c r="AA157" s="25">
        <v>18.727678571428569</v>
      </c>
      <c r="AB157" s="25">
        <v>22.280736618971911</v>
      </c>
      <c r="AC157" s="25" t="s">
        <v>95</v>
      </c>
      <c r="AD157" s="25" t="s">
        <v>95</v>
      </c>
      <c r="AE157" s="25" t="s">
        <v>95</v>
      </c>
    </row>
    <row r="158" spans="16:31" x14ac:dyDescent="0.25">
      <c r="P158" s="43"/>
      <c r="Q158" s="5">
        <v>3</v>
      </c>
      <c r="R158" s="4" t="s">
        <v>95</v>
      </c>
      <c r="S158" s="25">
        <v>13.96</v>
      </c>
      <c r="T158" s="25">
        <v>17.920000000000002</v>
      </c>
      <c r="U158" s="24" t="s">
        <v>95</v>
      </c>
      <c r="V158" s="24" t="s">
        <v>95</v>
      </c>
      <c r="Y158" s="43"/>
      <c r="Z158" s="5">
        <v>3</v>
      </c>
      <c r="AA158" s="25">
        <v>17.764857881136951</v>
      </c>
      <c r="AB158" s="25">
        <v>27.032145764241271</v>
      </c>
      <c r="AC158" s="25">
        <v>32.407407407407398</v>
      </c>
      <c r="AD158" s="25" t="s">
        <v>95</v>
      </c>
      <c r="AE158" s="25" t="s">
        <v>95</v>
      </c>
    </row>
    <row r="159" spans="16:31" x14ac:dyDescent="0.25">
      <c r="P159" s="43"/>
      <c r="Q159" s="5">
        <v>4</v>
      </c>
      <c r="R159" s="4" t="s">
        <v>95</v>
      </c>
      <c r="S159" s="25">
        <v>16.260000000000002</v>
      </c>
      <c r="T159" s="25">
        <v>20</v>
      </c>
      <c r="U159" s="24" t="s">
        <v>95</v>
      </c>
      <c r="V159" s="24" t="s">
        <v>95</v>
      </c>
      <c r="Y159" s="43"/>
      <c r="Z159" s="5">
        <v>4</v>
      </c>
      <c r="AA159" s="25" t="s">
        <v>95</v>
      </c>
      <c r="AB159" s="25" t="s">
        <v>95</v>
      </c>
      <c r="AC159" s="25">
        <v>34.482758620689658</v>
      </c>
      <c r="AD159" s="25" t="s">
        <v>95</v>
      </c>
      <c r="AE159" s="25" t="s">
        <v>95</v>
      </c>
    </row>
    <row r="160" spans="16:31" x14ac:dyDescent="0.25">
      <c r="P160" s="43"/>
      <c r="Q160" s="5">
        <v>5</v>
      </c>
      <c r="R160" s="4" t="s">
        <v>95</v>
      </c>
      <c r="S160" s="25">
        <v>10.71</v>
      </c>
      <c r="T160" s="25" t="s">
        <v>95</v>
      </c>
      <c r="U160" s="24" t="s">
        <v>95</v>
      </c>
      <c r="V160" s="24" t="s">
        <v>95</v>
      </c>
      <c r="Y160" s="43"/>
      <c r="Z160" s="5">
        <v>5</v>
      </c>
      <c r="AA160" s="25" t="s">
        <v>95</v>
      </c>
      <c r="AB160" s="25" t="s">
        <v>95</v>
      </c>
      <c r="AC160" s="25" t="s">
        <v>95</v>
      </c>
      <c r="AD160" s="25" t="s">
        <v>95</v>
      </c>
      <c r="AE160" s="25" t="s">
        <v>95</v>
      </c>
    </row>
    <row r="161" spans="16:31" x14ac:dyDescent="0.25">
      <c r="P161" s="43"/>
      <c r="Q161" s="5">
        <v>6</v>
      </c>
      <c r="R161" s="4" t="s">
        <v>95</v>
      </c>
      <c r="S161" s="25" t="s">
        <v>95</v>
      </c>
      <c r="T161" s="25" t="s">
        <v>95</v>
      </c>
      <c r="U161" s="24" t="s">
        <v>95</v>
      </c>
      <c r="V161" s="24" t="s">
        <v>95</v>
      </c>
      <c r="Y161" s="43"/>
      <c r="Z161" s="5">
        <v>6</v>
      </c>
      <c r="AA161" s="25" t="s">
        <v>95</v>
      </c>
      <c r="AB161" s="25" t="s">
        <v>95</v>
      </c>
      <c r="AC161" s="25" t="s">
        <v>95</v>
      </c>
      <c r="AD161" s="25" t="s">
        <v>95</v>
      </c>
      <c r="AE161" s="25" t="s">
        <v>95</v>
      </c>
    </row>
    <row r="162" spans="16:31" x14ac:dyDescent="0.25">
      <c r="P162" s="43"/>
      <c r="Q162" s="5">
        <v>7</v>
      </c>
      <c r="R162" s="4" t="s">
        <v>95</v>
      </c>
      <c r="S162" s="24" t="s">
        <v>95</v>
      </c>
      <c r="T162" s="24" t="s">
        <v>95</v>
      </c>
      <c r="U162" s="24" t="s">
        <v>95</v>
      </c>
      <c r="V162" s="24" t="s">
        <v>95</v>
      </c>
      <c r="Y162" s="43"/>
      <c r="Z162" s="5">
        <v>7</v>
      </c>
      <c r="AA162" s="25" t="s">
        <v>95</v>
      </c>
      <c r="AB162" s="25" t="s">
        <v>95</v>
      </c>
      <c r="AC162" s="25" t="s">
        <v>95</v>
      </c>
      <c r="AD162" s="25" t="s">
        <v>95</v>
      </c>
      <c r="AE162" s="25" t="s">
        <v>95</v>
      </c>
    </row>
    <row r="163" spans="16:31" x14ac:dyDescent="0.25">
      <c r="P163" s="43"/>
      <c r="Q163" s="5">
        <v>8</v>
      </c>
      <c r="R163" s="4" t="s">
        <v>95</v>
      </c>
      <c r="S163" s="4" t="s">
        <v>95</v>
      </c>
      <c r="T163" s="4" t="s">
        <v>95</v>
      </c>
      <c r="U163" s="4" t="s">
        <v>95</v>
      </c>
      <c r="V163" s="4" t="s">
        <v>95</v>
      </c>
      <c r="Y163" s="43"/>
      <c r="Z163" s="5">
        <v>8</v>
      </c>
      <c r="AA163" s="25" t="s">
        <v>95</v>
      </c>
      <c r="AB163" s="25" t="s">
        <v>95</v>
      </c>
      <c r="AC163" s="25" t="s">
        <v>95</v>
      </c>
      <c r="AD163" s="25" t="s">
        <v>95</v>
      </c>
      <c r="AE163" s="25" t="s">
        <v>95</v>
      </c>
    </row>
    <row r="164" spans="16:31" x14ac:dyDescent="0.25">
      <c r="P164" s="44"/>
      <c r="Q164" s="5">
        <v>9</v>
      </c>
      <c r="R164" s="4" t="s">
        <v>95</v>
      </c>
      <c r="S164" s="4" t="s">
        <v>95</v>
      </c>
      <c r="T164" s="4" t="s">
        <v>95</v>
      </c>
      <c r="U164" s="4" t="s">
        <v>95</v>
      </c>
      <c r="V164" s="4" t="s">
        <v>95</v>
      </c>
      <c r="Y164" s="44"/>
      <c r="Z164" s="5">
        <v>9</v>
      </c>
      <c r="AA164" s="25" t="s">
        <v>95</v>
      </c>
      <c r="AB164" s="25" t="s">
        <v>95</v>
      </c>
      <c r="AC164" s="25" t="s">
        <v>95</v>
      </c>
      <c r="AD164" s="25" t="s">
        <v>95</v>
      </c>
      <c r="AE164" s="25" t="s">
        <v>95</v>
      </c>
    </row>
    <row r="168" spans="16:31" x14ac:dyDescent="0.25">
      <c r="P168" s="6"/>
      <c r="Q168" s="40" t="s">
        <v>122</v>
      </c>
      <c r="R168" s="40"/>
      <c r="S168" s="40"/>
      <c r="T168" s="40"/>
      <c r="U168" s="40"/>
      <c r="V168" s="40"/>
      <c r="Y168" s="6"/>
      <c r="Z168" s="40" t="s">
        <v>96</v>
      </c>
      <c r="AA168" s="40"/>
      <c r="AB168" s="40"/>
      <c r="AC168" s="40"/>
      <c r="AD168" s="40"/>
      <c r="AE168" s="40"/>
    </row>
    <row r="169" spans="16:31" ht="15" customHeight="1" x14ac:dyDescent="0.25">
      <c r="P169" s="7"/>
      <c r="Q169" s="7" t="s">
        <v>85</v>
      </c>
      <c r="R169" s="41" t="s">
        <v>60</v>
      </c>
      <c r="S169" s="41"/>
      <c r="T169" s="41"/>
      <c r="U169" s="41"/>
      <c r="V169" s="41"/>
      <c r="Y169" s="7"/>
      <c r="Z169" s="7" t="s">
        <v>85</v>
      </c>
      <c r="AA169" s="41" t="s">
        <v>60</v>
      </c>
      <c r="AB169" s="41"/>
      <c r="AC169" s="41"/>
      <c r="AD169" s="41"/>
      <c r="AE169" s="41"/>
    </row>
    <row r="170" spans="16:31" x14ac:dyDescent="0.25">
      <c r="P170" s="42" t="s">
        <v>59</v>
      </c>
      <c r="Q170" s="7" t="s">
        <v>118</v>
      </c>
      <c r="R170" s="5">
        <v>1</v>
      </c>
      <c r="S170" s="5">
        <v>2</v>
      </c>
      <c r="T170" s="5">
        <v>3</v>
      </c>
      <c r="U170" s="5">
        <v>4</v>
      </c>
      <c r="V170" s="5">
        <v>5</v>
      </c>
      <c r="Y170" s="42" t="s">
        <v>59</v>
      </c>
      <c r="Z170" s="7" t="s">
        <v>36</v>
      </c>
      <c r="AA170" s="5">
        <v>1</v>
      </c>
      <c r="AB170" s="5">
        <v>2</v>
      </c>
      <c r="AC170" s="5">
        <v>3</v>
      </c>
      <c r="AD170" s="5">
        <v>4</v>
      </c>
      <c r="AE170" s="5">
        <v>5</v>
      </c>
    </row>
    <row r="171" spans="16:31" x14ac:dyDescent="0.25">
      <c r="P171" s="43"/>
      <c r="Q171" s="5">
        <v>1</v>
      </c>
      <c r="R171" s="25">
        <v>4.28</v>
      </c>
      <c r="S171" s="25" t="s">
        <v>95</v>
      </c>
      <c r="T171" s="25" t="s">
        <v>95</v>
      </c>
      <c r="U171" s="25" t="s">
        <v>95</v>
      </c>
      <c r="V171" s="25" t="s">
        <v>95</v>
      </c>
      <c r="Y171" s="43"/>
      <c r="Z171" s="5">
        <v>1</v>
      </c>
      <c r="AA171" s="25">
        <v>20.572916666666661</v>
      </c>
      <c r="AB171" s="25">
        <v>21.794871794871799</v>
      </c>
      <c r="AC171" s="25" t="s">
        <v>95</v>
      </c>
      <c r="AD171" s="25" t="s">
        <v>95</v>
      </c>
      <c r="AE171" s="25" t="s">
        <v>95</v>
      </c>
    </row>
    <row r="172" spans="16:31" x14ac:dyDescent="0.25">
      <c r="P172" s="43"/>
      <c r="Q172" s="5">
        <v>2</v>
      </c>
      <c r="R172" s="25">
        <v>7.87</v>
      </c>
      <c r="S172" s="25">
        <v>9.59</v>
      </c>
      <c r="T172" s="25" t="s">
        <v>95</v>
      </c>
      <c r="U172" s="25" t="s">
        <v>95</v>
      </c>
      <c r="V172" s="25" t="s">
        <v>95</v>
      </c>
      <c r="Y172" s="43"/>
      <c r="Z172" s="5">
        <v>2</v>
      </c>
      <c r="AA172" s="25">
        <v>19.871794871794869</v>
      </c>
      <c r="AB172" s="25">
        <v>30.815883190883191</v>
      </c>
      <c r="AC172" s="25" t="s">
        <v>95</v>
      </c>
      <c r="AD172" s="25" t="s">
        <v>95</v>
      </c>
      <c r="AE172" s="25" t="s">
        <v>95</v>
      </c>
    </row>
    <row r="173" spans="16:31" x14ac:dyDescent="0.25">
      <c r="P173" s="43"/>
      <c r="Q173" s="5">
        <v>3</v>
      </c>
      <c r="R173" s="25">
        <v>8.06</v>
      </c>
      <c r="S173" s="25">
        <v>15.84</v>
      </c>
      <c r="T173" s="25">
        <v>16.23</v>
      </c>
      <c r="U173" s="25" t="s">
        <v>95</v>
      </c>
      <c r="V173" s="25" t="s">
        <v>95</v>
      </c>
      <c r="Y173" s="43"/>
      <c r="Z173" s="5">
        <v>3</v>
      </c>
      <c r="AA173" s="25" t="s">
        <v>95</v>
      </c>
      <c r="AB173" s="25">
        <v>29.282689023009119</v>
      </c>
      <c r="AC173" s="25" t="s">
        <v>95</v>
      </c>
      <c r="AD173" s="25" t="s">
        <v>95</v>
      </c>
      <c r="AE173" s="25" t="s">
        <v>95</v>
      </c>
    </row>
    <row r="174" spans="16:31" x14ac:dyDescent="0.25">
      <c r="P174" s="43"/>
      <c r="Q174" s="5">
        <v>4</v>
      </c>
      <c r="R174" s="25">
        <v>9.91</v>
      </c>
      <c r="S174" s="25">
        <v>12.35</v>
      </c>
      <c r="T174" s="25">
        <v>16.59</v>
      </c>
      <c r="U174" s="25" t="s">
        <v>95</v>
      </c>
      <c r="V174" s="25" t="s">
        <v>95</v>
      </c>
      <c r="Y174" s="43"/>
      <c r="Z174" s="5">
        <v>4</v>
      </c>
      <c r="AA174" s="25" t="s">
        <v>95</v>
      </c>
      <c r="AB174" s="25">
        <v>35.998607910906301</v>
      </c>
      <c r="AC174" s="25" t="s">
        <v>95</v>
      </c>
      <c r="AD174" s="25" t="s">
        <v>95</v>
      </c>
      <c r="AE174" s="25" t="s">
        <v>95</v>
      </c>
    </row>
    <row r="175" spans="16:31" x14ac:dyDescent="0.25">
      <c r="P175" s="43"/>
      <c r="Q175" s="5">
        <v>5</v>
      </c>
      <c r="R175" s="25" t="s">
        <v>95</v>
      </c>
      <c r="S175" s="25" t="s">
        <v>95</v>
      </c>
      <c r="T175" s="25">
        <v>7.95</v>
      </c>
      <c r="U175" s="25" t="s">
        <v>95</v>
      </c>
      <c r="V175" s="25" t="s">
        <v>95</v>
      </c>
      <c r="Y175" s="43"/>
      <c r="Z175" s="5">
        <v>5</v>
      </c>
      <c r="AA175" s="25" t="s">
        <v>95</v>
      </c>
      <c r="AB175" s="25" t="s">
        <v>95</v>
      </c>
      <c r="AC175" s="25">
        <v>16.954022988505749</v>
      </c>
      <c r="AD175" s="25" t="s">
        <v>95</v>
      </c>
      <c r="AE175" s="25" t="s">
        <v>95</v>
      </c>
    </row>
    <row r="176" spans="16:31" x14ac:dyDescent="0.25">
      <c r="P176" s="43"/>
      <c r="Q176" s="5">
        <v>6</v>
      </c>
      <c r="R176" s="25" t="s">
        <v>95</v>
      </c>
      <c r="S176" s="25" t="s">
        <v>95</v>
      </c>
      <c r="T176" s="25">
        <v>22.9</v>
      </c>
      <c r="U176" s="25" t="s">
        <v>95</v>
      </c>
      <c r="V176" s="25" t="s">
        <v>95</v>
      </c>
      <c r="Y176" s="43"/>
      <c r="Z176" s="5">
        <v>6</v>
      </c>
      <c r="AA176" s="25" t="s">
        <v>95</v>
      </c>
      <c r="AB176" s="25" t="s">
        <v>95</v>
      </c>
      <c r="AC176" s="25" t="s">
        <v>95</v>
      </c>
      <c r="AD176" s="25" t="s">
        <v>95</v>
      </c>
      <c r="AE176" s="25" t="s">
        <v>95</v>
      </c>
    </row>
    <row r="177" spans="16:31" x14ac:dyDescent="0.25">
      <c r="P177" s="43"/>
      <c r="Q177" s="5">
        <v>7</v>
      </c>
      <c r="R177" s="25" t="s">
        <v>95</v>
      </c>
      <c r="S177" s="25" t="s">
        <v>95</v>
      </c>
      <c r="T177" s="25" t="s">
        <v>95</v>
      </c>
      <c r="U177" s="25" t="s">
        <v>95</v>
      </c>
      <c r="V177" s="25" t="s">
        <v>95</v>
      </c>
      <c r="Y177" s="43"/>
      <c r="Z177" s="5">
        <v>7</v>
      </c>
      <c r="AA177" s="25" t="s">
        <v>95</v>
      </c>
      <c r="AB177" s="25" t="s">
        <v>95</v>
      </c>
      <c r="AC177" s="25" t="s">
        <v>95</v>
      </c>
      <c r="AD177" s="25" t="s">
        <v>95</v>
      </c>
      <c r="AE177" s="25" t="s">
        <v>95</v>
      </c>
    </row>
    <row r="178" spans="16:31" x14ac:dyDescent="0.25">
      <c r="P178" s="43"/>
      <c r="Q178" s="5">
        <v>8</v>
      </c>
      <c r="R178" s="25" t="s">
        <v>95</v>
      </c>
      <c r="S178" s="25" t="s">
        <v>95</v>
      </c>
      <c r="T178" s="25" t="s">
        <v>95</v>
      </c>
      <c r="U178" s="25" t="s">
        <v>95</v>
      </c>
      <c r="V178" s="25" t="s">
        <v>95</v>
      </c>
      <c r="Y178" s="43"/>
      <c r="Z178" s="5">
        <v>8</v>
      </c>
      <c r="AA178" s="25" t="s">
        <v>95</v>
      </c>
      <c r="AB178" s="25" t="s">
        <v>95</v>
      </c>
      <c r="AC178" s="25" t="s">
        <v>95</v>
      </c>
      <c r="AD178" s="25" t="s">
        <v>95</v>
      </c>
      <c r="AE178" s="25" t="s">
        <v>95</v>
      </c>
    </row>
    <row r="179" spans="16:31" x14ac:dyDescent="0.25">
      <c r="P179" s="44"/>
      <c r="Q179" s="5">
        <v>9</v>
      </c>
      <c r="R179" s="25" t="s">
        <v>95</v>
      </c>
      <c r="S179" s="25" t="s">
        <v>95</v>
      </c>
      <c r="T179" s="25" t="s">
        <v>95</v>
      </c>
      <c r="U179" s="25" t="s">
        <v>95</v>
      </c>
      <c r="V179" s="25" t="s">
        <v>95</v>
      </c>
      <c r="Y179" s="44"/>
      <c r="Z179" s="5">
        <v>9</v>
      </c>
      <c r="AA179" s="25" t="s">
        <v>95</v>
      </c>
      <c r="AB179" s="25" t="s">
        <v>95</v>
      </c>
      <c r="AC179" s="25" t="s">
        <v>95</v>
      </c>
      <c r="AD179" s="25" t="s">
        <v>95</v>
      </c>
      <c r="AE179" s="25" t="s">
        <v>95</v>
      </c>
    </row>
    <row r="183" spans="16:31" x14ac:dyDescent="0.25">
      <c r="P183" s="6"/>
      <c r="Q183" s="40" t="s">
        <v>122</v>
      </c>
      <c r="R183" s="40"/>
      <c r="S183" s="40"/>
      <c r="T183" s="40"/>
      <c r="U183" s="40"/>
      <c r="V183" s="40"/>
      <c r="Y183" s="6"/>
      <c r="Z183" s="40" t="s">
        <v>96</v>
      </c>
      <c r="AA183" s="40"/>
      <c r="AB183" s="40"/>
      <c r="AC183" s="40"/>
      <c r="AD183" s="40"/>
      <c r="AE183" s="40"/>
    </row>
    <row r="184" spans="16:31" ht="15" customHeight="1" x14ac:dyDescent="0.25">
      <c r="P184" s="7"/>
      <c r="Q184" s="7" t="s">
        <v>85</v>
      </c>
      <c r="R184" s="41" t="s">
        <v>60</v>
      </c>
      <c r="S184" s="41"/>
      <c r="T184" s="41"/>
      <c r="U184" s="41"/>
      <c r="V184" s="41"/>
      <c r="Y184" s="7"/>
      <c r="Z184" s="7" t="s">
        <v>85</v>
      </c>
      <c r="AA184" s="41" t="s">
        <v>60</v>
      </c>
      <c r="AB184" s="41"/>
      <c r="AC184" s="41"/>
      <c r="AD184" s="41"/>
      <c r="AE184" s="41"/>
    </row>
    <row r="185" spans="16:31" x14ac:dyDescent="0.25">
      <c r="P185" s="42" t="s">
        <v>59</v>
      </c>
      <c r="Q185" s="7" t="s">
        <v>8</v>
      </c>
      <c r="R185" s="5">
        <v>1</v>
      </c>
      <c r="S185" s="5">
        <v>2</v>
      </c>
      <c r="T185" s="5">
        <v>3</v>
      </c>
      <c r="U185" s="5">
        <v>4</v>
      </c>
      <c r="V185" s="5">
        <v>5</v>
      </c>
      <c r="W185" s="15"/>
      <c r="Y185" s="42" t="s">
        <v>59</v>
      </c>
      <c r="Z185" s="7" t="s">
        <v>33</v>
      </c>
      <c r="AA185" s="5">
        <v>1</v>
      </c>
      <c r="AB185" s="5">
        <v>2</v>
      </c>
      <c r="AC185" s="5">
        <v>3</v>
      </c>
      <c r="AD185" s="5">
        <v>4</v>
      </c>
      <c r="AE185" s="5">
        <v>5</v>
      </c>
    </row>
    <row r="186" spans="16:31" x14ac:dyDescent="0.25">
      <c r="P186" s="43"/>
      <c r="Q186" s="5">
        <v>1</v>
      </c>
      <c r="R186" s="25">
        <v>22.72</v>
      </c>
      <c r="S186" s="27">
        <v>45.66</v>
      </c>
      <c r="T186" s="25" t="s">
        <v>95</v>
      </c>
      <c r="U186" s="25">
        <v>71.34</v>
      </c>
      <c r="V186" s="25" t="s">
        <v>95</v>
      </c>
      <c r="Y186" s="43"/>
      <c r="Z186" s="5">
        <v>1</v>
      </c>
      <c r="AA186" s="25">
        <v>23.957424242424239</v>
      </c>
      <c r="AB186" s="25" t="s">
        <v>95</v>
      </c>
      <c r="AC186" s="25" t="s">
        <v>95</v>
      </c>
      <c r="AD186" s="25" t="s">
        <v>95</v>
      </c>
      <c r="AE186" s="25" t="s">
        <v>95</v>
      </c>
    </row>
    <row r="187" spans="16:31" x14ac:dyDescent="0.25">
      <c r="P187" s="43"/>
      <c r="Q187" s="5">
        <v>2</v>
      </c>
      <c r="R187" s="25">
        <v>14.62</v>
      </c>
      <c r="S187" s="25">
        <v>25.09</v>
      </c>
      <c r="T187" s="25">
        <v>38.81</v>
      </c>
      <c r="U187" s="25" t="s">
        <v>95</v>
      </c>
      <c r="V187" s="25" t="s">
        <v>95</v>
      </c>
      <c r="Y187" s="43"/>
      <c r="Z187" s="5">
        <v>2</v>
      </c>
      <c r="AA187" s="25">
        <v>14.538784067085951</v>
      </c>
      <c r="AB187" s="25" t="s">
        <v>95</v>
      </c>
      <c r="AC187" s="25" t="s">
        <v>95</v>
      </c>
      <c r="AD187" s="25" t="s">
        <v>95</v>
      </c>
      <c r="AE187" s="25" t="s">
        <v>95</v>
      </c>
    </row>
    <row r="188" spans="16:31" x14ac:dyDescent="0.25">
      <c r="P188" s="43"/>
      <c r="Q188" s="5">
        <v>3</v>
      </c>
      <c r="R188" s="25">
        <v>12.62</v>
      </c>
      <c r="S188" s="25">
        <v>26.44</v>
      </c>
      <c r="T188" s="25">
        <v>55.83</v>
      </c>
      <c r="U188" s="25">
        <v>65.31</v>
      </c>
      <c r="V188" s="25" t="s">
        <v>95</v>
      </c>
      <c r="Y188" s="43"/>
      <c r="Z188" s="5">
        <v>3</v>
      </c>
      <c r="AA188" s="25" t="s">
        <v>95</v>
      </c>
      <c r="AB188" s="25">
        <v>16.228070175438599</v>
      </c>
      <c r="AC188" s="25" t="s">
        <v>95</v>
      </c>
      <c r="AD188" s="25" t="s">
        <v>95</v>
      </c>
      <c r="AE188" s="25" t="s">
        <v>95</v>
      </c>
    </row>
    <row r="189" spans="16:31" x14ac:dyDescent="0.25">
      <c r="P189" s="43"/>
      <c r="Q189" s="5">
        <v>4</v>
      </c>
      <c r="R189" s="25">
        <v>10.95</v>
      </c>
      <c r="S189" s="25">
        <v>21.46</v>
      </c>
      <c r="T189" s="25">
        <v>28.41</v>
      </c>
      <c r="U189" s="25">
        <v>48.05</v>
      </c>
      <c r="V189" s="25">
        <v>92.92</v>
      </c>
      <c r="Y189" s="43"/>
      <c r="Z189" s="5">
        <v>4</v>
      </c>
      <c r="AA189" s="25" t="s">
        <v>95</v>
      </c>
      <c r="AB189" s="25" t="s">
        <v>95</v>
      </c>
      <c r="AC189" s="25" t="s">
        <v>95</v>
      </c>
      <c r="AD189" s="25" t="s">
        <v>95</v>
      </c>
      <c r="AE189" s="25" t="s">
        <v>95</v>
      </c>
    </row>
    <row r="190" spans="16:31" x14ac:dyDescent="0.25">
      <c r="P190" s="43"/>
      <c r="Q190" s="5">
        <v>5</v>
      </c>
      <c r="R190" s="25">
        <v>11.95</v>
      </c>
      <c r="S190" s="25">
        <v>15.61</v>
      </c>
      <c r="T190" s="25">
        <v>23.28</v>
      </c>
      <c r="U190" s="25">
        <v>35.549999999999997</v>
      </c>
      <c r="V190" s="25">
        <v>35</v>
      </c>
      <c r="Y190" s="43"/>
      <c r="Z190" s="5">
        <v>5</v>
      </c>
      <c r="AA190" s="25" t="s">
        <v>95</v>
      </c>
      <c r="AB190" s="25" t="s">
        <v>95</v>
      </c>
      <c r="AC190" s="25" t="s">
        <v>95</v>
      </c>
      <c r="AD190" s="25" t="s">
        <v>95</v>
      </c>
      <c r="AE190" s="25" t="s">
        <v>95</v>
      </c>
    </row>
    <row r="191" spans="16:31" x14ac:dyDescent="0.25">
      <c r="P191" s="43"/>
      <c r="Q191" s="5">
        <v>6</v>
      </c>
      <c r="R191" s="25" t="s">
        <v>95</v>
      </c>
      <c r="S191" s="25">
        <v>56.95</v>
      </c>
      <c r="T191" s="25">
        <v>74.25</v>
      </c>
      <c r="U191" s="25">
        <v>95.26</v>
      </c>
      <c r="V191" s="25">
        <v>113.27</v>
      </c>
      <c r="Y191" s="43"/>
      <c r="Z191" s="5">
        <v>6</v>
      </c>
      <c r="AA191" s="25" t="s">
        <v>95</v>
      </c>
      <c r="AB191" s="25" t="s">
        <v>95</v>
      </c>
      <c r="AC191" s="25" t="s">
        <v>95</v>
      </c>
      <c r="AD191" s="25" t="s">
        <v>95</v>
      </c>
      <c r="AE191" s="25" t="s">
        <v>95</v>
      </c>
    </row>
    <row r="192" spans="16:31" x14ac:dyDescent="0.25">
      <c r="P192" s="43"/>
      <c r="Q192" s="5">
        <v>7</v>
      </c>
      <c r="R192" s="25" t="s">
        <v>95</v>
      </c>
      <c r="S192" s="25">
        <v>23.73</v>
      </c>
      <c r="T192" s="25">
        <v>25.42</v>
      </c>
      <c r="U192" s="25">
        <v>53.34</v>
      </c>
      <c r="V192" s="25">
        <v>28.51</v>
      </c>
      <c r="Y192" s="43"/>
      <c r="Z192" s="5">
        <v>7</v>
      </c>
      <c r="AA192" s="25" t="s">
        <v>95</v>
      </c>
      <c r="AB192" s="25" t="s">
        <v>95</v>
      </c>
      <c r="AC192" s="25" t="s">
        <v>95</v>
      </c>
      <c r="AD192" s="25" t="s">
        <v>95</v>
      </c>
      <c r="AE192" s="25" t="s">
        <v>95</v>
      </c>
    </row>
    <row r="193" spans="16:31" x14ac:dyDescent="0.25">
      <c r="P193" s="43"/>
      <c r="Q193" s="5">
        <v>8</v>
      </c>
      <c r="R193" s="25" t="s">
        <v>95</v>
      </c>
      <c r="S193" s="25" t="s">
        <v>95</v>
      </c>
      <c r="T193" s="25" t="s">
        <v>95</v>
      </c>
      <c r="U193" s="25" t="s">
        <v>95</v>
      </c>
      <c r="V193" s="25" t="s">
        <v>95</v>
      </c>
      <c r="Y193" s="43"/>
      <c r="Z193" s="5">
        <v>8</v>
      </c>
      <c r="AA193" s="25" t="s">
        <v>95</v>
      </c>
      <c r="AB193" s="25" t="s">
        <v>95</v>
      </c>
      <c r="AC193" s="25" t="s">
        <v>95</v>
      </c>
      <c r="AD193" s="25" t="s">
        <v>95</v>
      </c>
      <c r="AE193" s="25" t="s">
        <v>95</v>
      </c>
    </row>
    <row r="194" spans="16:31" x14ac:dyDescent="0.25">
      <c r="P194" s="44"/>
      <c r="Q194" s="5">
        <v>9</v>
      </c>
      <c r="R194" s="25" t="s">
        <v>95</v>
      </c>
      <c r="S194" s="25" t="s">
        <v>95</v>
      </c>
      <c r="T194" s="25" t="s">
        <v>95</v>
      </c>
      <c r="U194" s="25" t="s">
        <v>95</v>
      </c>
      <c r="V194" s="25" t="s">
        <v>95</v>
      </c>
      <c r="Y194" s="44"/>
      <c r="Z194" s="5">
        <v>9</v>
      </c>
      <c r="AA194" s="25" t="s">
        <v>95</v>
      </c>
      <c r="AB194" s="25" t="s">
        <v>95</v>
      </c>
      <c r="AC194" s="25" t="s">
        <v>95</v>
      </c>
      <c r="AD194" s="25" t="s">
        <v>95</v>
      </c>
      <c r="AE194" s="25" t="s">
        <v>95</v>
      </c>
    </row>
    <row r="197" spans="16:31" x14ac:dyDescent="0.25">
      <c r="P197" s="6"/>
      <c r="Q197" s="40" t="s">
        <v>122</v>
      </c>
      <c r="R197" s="40"/>
      <c r="S197" s="40"/>
      <c r="T197" s="40"/>
      <c r="U197" s="40"/>
      <c r="V197" s="40"/>
    </row>
    <row r="198" spans="16:31" x14ac:dyDescent="0.25">
      <c r="P198" s="7"/>
      <c r="Q198" s="7" t="s">
        <v>85</v>
      </c>
      <c r="R198" s="41" t="s">
        <v>60</v>
      </c>
      <c r="S198" s="41"/>
      <c r="T198" s="41"/>
      <c r="U198" s="41"/>
      <c r="V198" s="41"/>
    </row>
    <row r="199" spans="16:31" x14ac:dyDescent="0.25">
      <c r="P199" s="42" t="s">
        <v>59</v>
      </c>
      <c r="Q199" s="7" t="s">
        <v>8</v>
      </c>
      <c r="R199" s="5">
        <v>1</v>
      </c>
      <c r="S199" s="5">
        <v>2</v>
      </c>
      <c r="T199" s="5">
        <v>3</v>
      </c>
      <c r="U199" s="5">
        <v>4</v>
      </c>
      <c r="V199" s="5">
        <v>5</v>
      </c>
    </row>
    <row r="200" spans="16:31" x14ac:dyDescent="0.25">
      <c r="P200" s="43"/>
      <c r="Q200" s="5">
        <v>1</v>
      </c>
      <c r="R200" s="25">
        <v>15.81</v>
      </c>
      <c r="S200" s="27">
        <v>17.54</v>
      </c>
      <c r="T200" s="25" t="s">
        <v>95</v>
      </c>
      <c r="U200" s="25" t="s">
        <v>95</v>
      </c>
      <c r="V200" s="25" t="s">
        <v>95</v>
      </c>
    </row>
    <row r="201" spans="16:31" x14ac:dyDescent="0.25">
      <c r="P201" s="43"/>
      <c r="Q201" s="5">
        <v>2</v>
      </c>
      <c r="R201" s="25">
        <v>16.96</v>
      </c>
      <c r="S201" s="25">
        <v>13.75</v>
      </c>
      <c r="T201" s="25" t="s">
        <v>95</v>
      </c>
      <c r="U201" s="25" t="s">
        <v>95</v>
      </c>
      <c r="V201" s="25" t="s">
        <v>95</v>
      </c>
    </row>
    <row r="202" spans="16:31" x14ac:dyDescent="0.25">
      <c r="P202" s="43"/>
      <c r="Q202" s="5">
        <v>3</v>
      </c>
      <c r="R202" s="25">
        <v>10.220000000000001</v>
      </c>
      <c r="S202" s="25">
        <v>16.54</v>
      </c>
      <c r="T202" s="25">
        <v>18.579999999999998</v>
      </c>
      <c r="U202" s="25" t="s">
        <v>95</v>
      </c>
      <c r="V202" s="25" t="s">
        <v>95</v>
      </c>
    </row>
    <row r="203" spans="16:31" x14ac:dyDescent="0.25">
      <c r="P203" s="43"/>
      <c r="Q203" s="5">
        <v>4</v>
      </c>
      <c r="R203" s="25">
        <v>9.39</v>
      </c>
      <c r="S203" s="25">
        <v>17.36</v>
      </c>
      <c r="T203" s="25">
        <v>26.16</v>
      </c>
      <c r="U203" s="25" t="s">
        <v>95</v>
      </c>
      <c r="V203" s="25" t="s">
        <v>95</v>
      </c>
    </row>
    <row r="204" spans="16:31" x14ac:dyDescent="0.25">
      <c r="P204" s="43"/>
      <c r="Q204" s="5">
        <v>5</v>
      </c>
      <c r="R204" s="25" t="s">
        <v>95</v>
      </c>
      <c r="S204" s="25">
        <v>8.5399999999999991</v>
      </c>
      <c r="T204" s="25">
        <v>8.85</v>
      </c>
      <c r="U204" s="25">
        <v>24.48</v>
      </c>
      <c r="V204" s="25">
        <v>58.99</v>
      </c>
    </row>
    <row r="205" spans="16:31" x14ac:dyDescent="0.25">
      <c r="P205" s="43"/>
      <c r="Q205" s="5">
        <v>6</v>
      </c>
      <c r="R205" s="25" t="s">
        <v>95</v>
      </c>
      <c r="S205" s="25" t="s">
        <v>95</v>
      </c>
      <c r="T205" s="25" t="s">
        <v>95</v>
      </c>
      <c r="U205" s="25">
        <v>65.87</v>
      </c>
      <c r="V205" s="25">
        <v>20.92</v>
      </c>
    </row>
    <row r="206" spans="16:31" x14ac:dyDescent="0.25">
      <c r="P206" s="43"/>
      <c r="Q206" s="5">
        <v>7</v>
      </c>
      <c r="R206" s="25" t="s">
        <v>95</v>
      </c>
      <c r="S206" s="25" t="s">
        <v>95</v>
      </c>
      <c r="T206" s="25" t="s">
        <v>95</v>
      </c>
      <c r="U206" s="25">
        <v>42.45</v>
      </c>
      <c r="V206" s="25">
        <v>133.47999999999999</v>
      </c>
    </row>
    <row r="207" spans="16:31" x14ac:dyDescent="0.25">
      <c r="P207" s="43"/>
      <c r="Q207" s="5">
        <v>8</v>
      </c>
      <c r="R207" s="25" t="s">
        <v>95</v>
      </c>
      <c r="S207" s="25" t="s">
        <v>95</v>
      </c>
      <c r="T207" s="25" t="s">
        <v>95</v>
      </c>
      <c r="U207" s="25" t="s">
        <v>95</v>
      </c>
      <c r="V207" s="25" t="s">
        <v>95</v>
      </c>
    </row>
    <row r="208" spans="16:31" x14ac:dyDescent="0.25">
      <c r="P208" s="44"/>
      <c r="Q208" s="5">
        <v>9</v>
      </c>
      <c r="R208" s="25" t="s">
        <v>95</v>
      </c>
      <c r="S208" s="25" t="s">
        <v>95</v>
      </c>
      <c r="T208" s="25" t="s">
        <v>95</v>
      </c>
      <c r="U208" s="25" t="s">
        <v>95</v>
      </c>
      <c r="V208" s="25" t="s">
        <v>95</v>
      </c>
    </row>
  </sheetData>
  <mergeCells count="126">
    <mergeCell ref="B77:B86"/>
    <mergeCell ref="I77:I86"/>
    <mergeCell ref="C92:F92"/>
    <mergeCell ref="J92:M92"/>
    <mergeCell ref="B93:F93"/>
    <mergeCell ref="I93:M93"/>
    <mergeCell ref="D94:F94"/>
    <mergeCell ref="K94:M94"/>
    <mergeCell ref="B95:B104"/>
    <mergeCell ref="I95:I104"/>
    <mergeCell ref="D58:F58"/>
    <mergeCell ref="K58:M58"/>
    <mergeCell ref="B59:B68"/>
    <mergeCell ref="I59:I68"/>
    <mergeCell ref="C74:F74"/>
    <mergeCell ref="J74:M74"/>
    <mergeCell ref="B75:F75"/>
    <mergeCell ref="I75:M75"/>
    <mergeCell ref="D76:F76"/>
    <mergeCell ref="K76:M76"/>
    <mergeCell ref="B40:F40"/>
    <mergeCell ref="I40:M40"/>
    <mergeCell ref="D41:F41"/>
    <mergeCell ref="K41:M41"/>
    <mergeCell ref="B42:B51"/>
    <mergeCell ref="I42:I51"/>
    <mergeCell ref="C56:F56"/>
    <mergeCell ref="J56:M56"/>
    <mergeCell ref="B57:F57"/>
    <mergeCell ref="I57:M57"/>
    <mergeCell ref="P6:P15"/>
    <mergeCell ref="C1:L2"/>
    <mergeCell ref="J4:M4"/>
    <mergeCell ref="K6:M6"/>
    <mergeCell ref="I7:I16"/>
    <mergeCell ref="B5:F5"/>
    <mergeCell ref="I5:M5"/>
    <mergeCell ref="C4:F4"/>
    <mergeCell ref="C39:F39"/>
    <mergeCell ref="J39:M39"/>
    <mergeCell ref="B22:F22"/>
    <mergeCell ref="I22:M22"/>
    <mergeCell ref="D6:F6"/>
    <mergeCell ref="B7:B16"/>
    <mergeCell ref="C21:F21"/>
    <mergeCell ref="B24:B33"/>
    <mergeCell ref="I24:I33"/>
    <mergeCell ref="J21:M21"/>
    <mergeCell ref="D23:F23"/>
    <mergeCell ref="K23:M23"/>
    <mergeCell ref="Q39:V39"/>
    <mergeCell ref="Q56:V56"/>
    <mergeCell ref="R57:V57"/>
    <mergeCell ref="P58:P67"/>
    <mergeCell ref="Q74:V74"/>
    <mergeCell ref="R75:V75"/>
    <mergeCell ref="P76:P85"/>
    <mergeCell ref="P41:P50"/>
    <mergeCell ref="P23:P32"/>
    <mergeCell ref="P199:P208"/>
    <mergeCell ref="P155:P164"/>
    <mergeCell ref="Q168:V168"/>
    <mergeCell ref="R169:V169"/>
    <mergeCell ref="P170:P179"/>
    <mergeCell ref="Q183:V183"/>
    <mergeCell ref="Q138:V138"/>
    <mergeCell ref="R139:V139"/>
    <mergeCell ref="P140:P149"/>
    <mergeCell ref="Q153:V153"/>
    <mergeCell ref="R154:V154"/>
    <mergeCell ref="Y1:AE2"/>
    <mergeCell ref="Z4:AE4"/>
    <mergeCell ref="AA5:AE5"/>
    <mergeCell ref="Y6:Y15"/>
    <mergeCell ref="Z21:AE21"/>
    <mergeCell ref="R184:V184"/>
    <mergeCell ref="P185:P194"/>
    <mergeCell ref="Q197:V197"/>
    <mergeCell ref="R198:V198"/>
    <mergeCell ref="R109:V109"/>
    <mergeCell ref="P110:P119"/>
    <mergeCell ref="Q123:V123"/>
    <mergeCell ref="R124:V124"/>
    <mergeCell ref="P125:P134"/>
    <mergeCell ref="P1:V2"/>
    <mergeCell ref="Q92:V92"/>
    <mergeCell ref="R93:V93"/>
    <mergeCell ref="P94:P103"/>
    <mergeCell ref="Q108:V108"/>
    <mergeCell ref="Q4:V4"/>
    <mergeCell ref="R5:V5"/>
    <mergeCell ref="R22:V22"/>
    <mergeCell ref="Q21:V21"/>
    <mergeCell ref="R40:V40"/>
    <mergeCell ref="Z56:AE56"/>
    <mergeCell ref="AA57:AE57"/>
    <mergeCell ref="Y58:Y67"/>
    <mergeCell ref="Z74:AE74"/>
    <mergeCell ref="AA75:AE75"/>
    <mergeCell ref="AA22:AE22"/>
    <mergeCell ref="Y23:Y32"/>
    <mergeCell ref="Z39:AE39"/>
    <mergeCell ref="AA40:AE40"/>
    <mergeCell ref="Y41:Y50"/>
    <mergeCell ref="Z138:AE138"/>
    <mergeCell ref="AA139:AE139"/>
    <mergeCell ref="Y140:Y149"/>
    <mergeCell ref="AA109:AE109"/>
    <mergeCell ref="Y110:Y119"/>
    <mergeCell ref="Z123:AE123"/>
    <mergeCell ref="AA124:AE124"/>
    <mergeCell ref="Y125:Y134"/>
    <mergeCell ref="Y76:Y85"/>
    <mergeCell ref="Z92:AE92"/>
    <mergeCell ref="AA93:AE93"/>
    <mergeCell ref="Y94:Y103"/>
    <mergeCell ref="Z108:AE108"/>
    <mergeCell ref="Z153:AE153"/>
    <mergeCell ref="AA154:AE154"/>
    <mergeCell ref="Y155:Y164"/>
    <mergeCell ref="Z168:AE168"/>
    <mergeCell ref="AA169:AE169"/>
    <mergeCell ref="Y170:Y179"/>
    <mergeCell ref="Z183:AE183"/>
    <mergeCell ref="AA184:AE184"/>
    <mergeCell ref="Y185:Y1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361A-8948-4A54-85CF-C3C451755185}">
  <dimension ref="C1:P56"/>
  <sheetViews>
    <sheetView tabSelected="1" topLeftCell="B15" zoomScaleNormal="100" workbookViewId="0">
      <selection activeCell="G46" sqref="G46"/>
    </sheetView>
  </sheetViews>
  <sheetFormatPr baseColWidth="10" defaultRowHeight="15" x14ac:dyDescent="0.25"/>
  <cols>
    <col min="3" max="3" width="23.7109375" bestFit="1" customWidth="1"/>
    <col min="4" max="15" width="12.28515625" customWidth="1"/>
  </cols>
  <sheetData>
    <row r="1" spans="3:16" hidden="1" x14ac:dyDescent="0.25">
      <c r="L1" t="s">
        <v>114</v>
      </c>
    </row>
    <row r="2" spans="3:16" hidden="1" x14ac:dyDescent="0.25">
      <c r="C2" t="s">
        <v>109</v>
      </c>
      <c r="D2">
        <v>1080</v>
      </c>
      <c r="H2" t="s">
        <v>110</v>
      </c>
      <c r="I2">
        <v>20269</v>
      </c>
      <c r="L2" t="s">
        <v>112</v>
      </c>
      <c r="M2">
        <f>I2+($E$3*I2)</f>
        <v>21282.45</v>
      </c>
      <c r="P2">
        <f>M2*2</f>
        <v>42564.9</v>
      </c>
    </row>
    <row r="3" spans="3:16" hidden="1" x14ac:dyDescent="0.25">
      <c r="C3" t="s">
        <v>109</v>
      </c>
      <c r="D3">
        <v>1134</v>
      </c>
      <c r="E3" s="2">
        <f>(D3/D2)-1</f>
        <v>5.0000000000000044E-2</v>
      </c>
      <c r="F3" s="2"/>
      <c r="H3" t="s">
        <v>111</v>
      </c>
      <c r="I3">
        <v>26203</v>
      </c>
      <c r="L3" t="s">
        <v>113</v>
      </c>
      <c r="M3" s="9">
        <f>I3+($E$3*I3)</f>
        <v>27513.15</v>
      </c>
      <c r="N3" s="9"/>
      <c r="P3">
        <f>M3*2</f>
        <v>55026.3</v>
      </c>
    </row>
    <row r="5" spans="3:16" x14ac:dyDescent="0.25">
      <c r="C5" s="49" t="s">
        <v>116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3:16" x14ac:dyDescent="0.25"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3:16" x14ac:dyDescent="0.25">
      <c r="C7" s="7" t="s">
        <v>126</v>
      </c>
      <c r="D7" s="5" t="s">
        <v>155</v>
      </c>
      <c r="E7" s="5" t="s">
        <v>115</v>
      </c>
      <c r="F7" s="5" t="s">
        <v>158</v>
      </c>
      <c r="G7" s="5" t="s">
        <v>86</v>
      </c>
      <c r="H7" s="5" t="s">
        <v>156</v>
      </c>
      <c r="I7" s="5" t="s">
        <v>115</v>
      </c>
      <c r="J7" s="5" t="s">
        <v>158</v>
      </c>
      <c r="K7" s="5" t="s">
        <v>86</v>
      </c>
      <c r="L7" s="5" t="s">
        <v>157</v>
      </c>
      <c r="M7" s="5" t="s">
        <v>115</v>
      </c>
      <c r="N7" s="5" t="s">
        <v>158</v>
      </c>
      <c r="O7" s="5" t="s">
        <v>86</v>
      </c>
    </row>
    <row r="8" spans="3:16" ht="15" customHeight="1" x14ac:dyDescent="0.25">
      <c r="C8" s="7" t="s">
        <v>92</v>
      </c>
      <c r="D8" s="4">
        <v>235750</v>
      </c>
      <c r="E8" s="25">
        <f>D8*0.9</f>
        <v>212175</v>
      </c>
      <c r="F8" s="25">
        <f>D8*0.1</f>
        <v>23575</v>
      </c>
      <c r="G8" s="30">
        <v>0.22</v>
      </c>
      <c r="H8" s="4">
        <v>397018</v>
      </c>
      <c r="I8" s="25">
        <f>H8*0.9</f>
        <v>357316.2</v>
      </c>
      <c r="J8" s="25">
        <f>H8*0.1</f>
        <v>39701.800000000003</v>
      </c>
      <c r="K8" s="30">
        <v>0.37</v>
      </c>
      <c r="L8" s="4">
        <v>605121</v>
      </c>
      <c r="M8" s="25">
        <f t="shared" ref="M8:M13" si="0">L8*0.9</f>
        <v>544608.9</v>
      </c>
      <c r="N8" s="25">
        <f>L8*0.1</f>
        <v>60512.100000000006</v>
      </c>
      <c r="O8" s="30">
        <v>0.56000000000000005</v>
      </c>
    </row>
    <row r="9" spans="3:16" ht="15" customHeight="1" x14ac:dyDescent="0.25">
      <c r="C9" s="7" t="s">
        <v>20</v>
      </c>
      <c r="D9" s="4">
        <v>258176</v>
      </c>
      <c r="E9" s="25">
        <f t="shared" ref="E9:E13" si="1">D9*0.9</f>
        <v>232358.39999999999</v>
      </c>
      <c r="F9" s="25">
        <f t="shared" ref="F9:F13" si="2">D9*0.1</f>
        <v>25817.600000000002</v>
      </c>
      <c r="G9" s="30">
        <v>0.24</v>
      </c>
      <c r="H9" s="4">
        <v>470337</v>
      </c>
      <c r="I9" s="25">
        <f t="shared" ref="I9:I13" si="3">H9*0.9</f>
        <v>423303.3</v>
      </c>
      <c r="J9" s="25">
        <f t="shared" ref="J9:J13" si="4">H9*0.1</f>
        <v>47033.700000000004</v>
      </c>
      <c r="K9" s="30">
        <v>0.43</v>
      </c>
      <c r="L9" s="4">
        <v>517082</v>
      </c>
      <c r="M9" s="25">
        <f t="shared" si="0"/>
        <v>465373.8</v>
      </c>
      <c r="N9" s="25">
        <f t="shared" ref="N9:N13" si="5">L9*0.1</f>
        <v>51708.200000000004</v>
      </c>
      <c r="O9" s="30">
        <v>0.48</v>
      </c>
    </row>
    <row r="10" spans="3:16" ht="15.75" customHeight="1" x14ac:dyDescent="0.25">
      <c r="C10" s="7" t="s">
        <v>97</v>
      </c>
      <c r="D10" s="4">
        <v>291171</v>
      </c>
      <c r="E10" s="25">
        <f t="shared" si="1"/>
        <v>262053.9</v>
      </c>
      <c r="F10" s="25">
        <f t="shared" si="2"/>
        <v>29117.100000000002</v>
      </c>
      <c r="G10" s="30">
        <v>0.27</v>
      </c>
      <c r="H10" s="4">
        <v>515899</v>
      </c>
      <c r="I10" s="25">
        <f t="shared" si="3"/>
        <v>464309.10000000003</v>
      </c>
      <c r="J10" s="25">
        <f t="shared" si="4"/>
        <v>51589.9</v>
      </c>
      <c r="K10" s="30">
        <v>0.47</v>
      </c>
      <c r="L10" s="4">
        <v>859428</v>
      </c>
      <c r="M10" s="25">
        <f t="shared" si="0"/>
        <v>773485.20000000007</v>
      </c>
      <c r="N10" s="25">
        <f t="shared" si="5"/>
        <v>85942.8</v>
      </c>
      <c r="O10" s="30">
        <v>0.79</v>
      </c>
    </row>
    <row r="11" spans="3:16" x14ac:dyDescent="0.25">
      <c r="C11" s="7" t="s">
        <v>98</v>
      </c>
      <c r="D11" s="4">
        <v>263738</v>
      </c>
      <c r="E11" s="25">
        <f t="shared" si="1"/>
        <v>237364.2</v>
      </c>
      <c r="F11" s="25">
        <f t="shared" si="2"/>
        <v>26373.800000000003</v>
      </c>
      <c r="G11" s="30">
        <v>0.24</v>
      </c>
      <c r="H11" s="4">
        <v>481197</v>
      </c>
      <c r="I11" s="25">
        <f t="shared" si="3"/>
        <v>433077.3</v>
      </c>
      <c r="J11" s="25">
        <f t="shared" si="4"/>
        <v>48119.700000000004</v>
      </c>
      <c r="K11" s="30">
        <v>0.44</v>
      </c>
      <c r="L11" s="4">
        <v>676833</v>
      </c>
      <c r="M11" s="25">
        <f t="shared" si="0"/>
        <v>609149.70000000007</v>
      </c>
      <c r="N11" s="25">
        <f t="shared" si="5"/>
        <v>67683.3</v>
      </c>
      <c r="O11" s="30">
        <v>0.62</v>
      </c>
    </row>
    <row r="12" spans="3:16" x14ac:dyDescent="0.25">
      <c r="C12" s="7" t="s">
        <v>99</v>
      </c>
      <c r="D12" s="4">
        <v>392296</v>
      </c>
      <c r="E12" s="25">
        <f t="shared" si="1"/>
        <v>353066.4</v>
      </c>
      <c r="F12" s="25">
        <f t="shared" si="2"/>
        <v>39229.599999999999</v>
      </c>
      <c r="G12" s="30">
        <v>0.36</v>
      </c>
      <c r="H12" s="4">
        <v>652622</v>
      </c>
      <c r="I12" s="25">
        <f t="shared" si="3"/>
        <v>587359.80000000005</v>
      </c>
      <c r="J12" s="25">
        <f t="shared" si="4"/>
        <v>65262.200000000004</v>
      </c>
      <c r="K12" s="30">
        <v>0.6</v>
      </c>
      <c r="L12" s="4">
        <v>1070924</v>
      </c>
      <c r="M12" s="25">
        <f t="shared" si="0"/>
        <v>963831.6</v>
      </c>
      <c r="N12" s="25">
        <f t="shared" si="5"/>
        <v>107092.40000000001</v>
      </c>
      <c r="O12" s="30">
        <v>0.99</v>
      </c>
    </row>
    <row r="13" spans="3:16" x14ac:dyDescent="0.25">
      <c r="C13" s="7" t="s">
        <v>101</v>
      </c>
      <c r="D13" s="4">
        <v>242246</v>
      </c>
      <c r="E13" s="25">
        <f t="shared" si="1"/>
        <v>218021.4</v>
      </c>
      <c r="F13" s="25">
        <f t="shared" si="2"/>
        <v>24224.600000000002</v>
      </c>
      <c r="G13" s="30">
        <v>0.22</v>
      </c>
      <c r="H13" s="4">
        <v>396067</v>
      </c>
      <c r="I13" s="25">
        <f t="shared" si="3"/>
        <v>356460.3</v>
      </c>
      <c r="J13" s="25">
        <f t="shared" si="4"/>
        <v>39606.700000000004</v>
      </c>
      <c r="K13" s="30">
        <v>0.36</v>
      </c>
      <c r="L13" s="4">
        <v>510813</v>
      </c>
      <c r="M13" s="25">
        <f t="shared" si="0"/>
        <v>459731.7</v>
      </c>
      <c r="N13" s="25">
        <f t="shared" si="5"/>
        <v>51081.3</v>
      </c>
      <c r="O13" s="30">
        <v>0.47</v>
      </c>
    </row>
    <row r="14" spans="3:16" x14ac:dyDescent="0.25">
      <c r="K14" s="2"/>
      <c r="O14" s="2"/>
    </row>
    <row r="15" spans="3:16" x14ac:dyDescent="0.25">
      <c r="O15" s="2"/>
    </row>
    <row r="18" spans="3:15" x14ac:dyDescent="0.25">
      <c r="C18" s="49" t="s">
        <v>8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</row>
    <row r="19" spans="3:15" x14ac:dyDescent="0.25"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3:15" x14ac:dyDescent="0.25">
      <c r="C20" s="7" t="s">
        <v>126</v>
      </c>
      <c r="D20" s="5" t="s">
        <v>155</v>
      </c>
      <c r="E20" s="5" t="s">
        <v>115</v>
      </c>
      <c r="F20" s="5" t="s">
        <v>158</v>
      </c>
      <c r="G20" s="5" t="s">
        <v>86</v>
      </c>
      <c r="H20" s="5" t="s">
        <v>156</v>
      </c>
      <c r="I20" s="5" t="s">
        <v>115</v>
      </c>
      <c r="J20" s="5" t="s">
        <v>158</v>
      </c>
      <c r="K20" s="5" t="s">
        <v>86</v>
      </c>
      <c r="L20" s="5" t="s">
        <v>157</v>
      </c>
      <c r="M20" s="5" t="s">
        <v>115</v>
      </c>
      <c r="N20" s="5" t="s">
        <v>158</v>
      </c>
      <c r="O20" s="5" t="s">
        <v>86</v>
      </c>
    </row>
    <row r="21" spans="3:15" x14ac:dyDescent="0.25">
      <c r="C21" s="7" t="s">
        <v>10</v>
      </c>
      <c r="D21" s="25">
        <v>118980</v>
      </c>
      <c r="E21" s="25">
        <f t="shared" ref="E21:E27" si="6">D21*0.9</f>
        <v>107082</v>
      </c>
      <c r="F21" s="25">
        <f>D21*0.1</f>
        <v>11898</v>
      </c>
      <c r="G21" s="30">
        <v>0.10929999999999999</v>
      </c>
      <c r="H21" s="25">
        <v>203412</v>
      </c>
      <c r="I21" s="25">
        <f t="shared" ref="I21:I32" si="7">H21*0.9</f>
        <v>183070.80000000002</v>
      </c>
      <c r="J21" s="25">
        <f t="shared" ref="J21:J32" si="8">H21*0.1</f>
        <v>20341.2</v>
      </c>
      <c r="K21" s="30">
        <v>0.18690000000000001</v>
      </c>
      <c r="L21" s="25">
        <v>241924</v>
      </c>
      <c r="M21" s="25">
        <f t="shared" ref="M21:M32" si="9">L21*0.9</f>
        <v>217731.6</v>
      </c>
      <c r="N21" s="25">
        <f t="shared" ref="N21:N32" si="10">L21*0.1</f>
        <v>24192.400000000001</v>
      </c>
      <c r="O21" s="30">
        <v>0.2223</v>
      </c>
    </row>
    <row r="22" spans="3:15" x14ac:dyDescent="0.25">
      <c r="C22" s="7" t="s">
        <v>87</v>
      </c>
      <c r="D22" s="25">
        <v>129733</v>
      </c>
      <c r="E22" s="25">
        <f t="shared" si="6"/>
        <v>116759.7</v>
      </c>
      <c r="F22" s="25">
        <f t="shared" ref="F22:F32" si="11">D22*0.1</f>
        <v>12973.300000000001</v>
      </c>
      <c r="G22" s="30">
        <v>0.1192</v>
      </c>
      <c r="H22" s="25">
        <v>132178</v>
      </c>
      <c r="I22" s="25">
        <f t="shared" si="7"/>
        <v>118960.2</v>
      </c>
      <c r="J22" s="25">
        <f t="shared" si="8"/>
        <v>13217.800000000001</v>
      </c>
      <c r="K22" s="30">
        <v>0.1215</v>
      </c>
      <c r="L22" s="25">
        <v>230921</v>
      </c>
      <c r="M22" s="25">
        <f t="shared" si="9"/>
        <v>207828.9</v>
      </c>
      <c r="N22" s="25">
        <f t="shared" si="10"/>
        <v>23092.100000000002</v>
      </c>
      <c r="O22" s="30">
        <v>0.2122</v>
      </c>
    </row>
    <row r="23" spans="3:15" x14ac:dyDescent="0.25">
      <c r="C23" s="7" t="s">
        <v>117</v>
      </c>
      <c r="D23" s="25">
        <v>103000</v>
      </c>
      <c r="E23" s="25">
        <f t="shared" si="6"/>
        <v>92700</v>
      </c>
      <c r="F23" s="25">
        <f t="shared" si="11"/>
        <v>10300</v>
      </c>
      <c r="G23" s="30">
        <v>9.4700000000000006E-2</v>
      </c>
      <c r="H23" s="25">
        <v>150833</v>
      </c>
      <c r="I23" s="25">
        <f t="shared" si="7"/>
        <v>135749.70000000001</v>
      </c>
      <c r="J23" s="25">
        <f t="shared" si="8"/>
        <v>15083.300000000001</v>
      </c>
      <c r="K23" s="30">
        <v>0.1386</v>
      </c>
      <c r="L23" s="25">
        <v>144158</v>
      </c>
      <c r="M23" s="25">
        <f t="shared" si="9"/>
        <v>129742.2</v>
      </c>
      <c r="N23" s="25">
        <f t="shared" si="10"/>
        <v>14415.800000000001</v>
      </c>
      <c r="O23" s="30">
        <v>0.13250000000000001</v>
      </c>
    </row>
    <row r="24" spans="3:15" x14ac:dyDescent="0.25">
      <c r="C24" s="7" t="s">
        <v>16</v>
      </c>
      <c r="D24" s="25">
        <v>244100</v>
      </c>
      <c r="E24" s="25">
        <f t="shared" si="6"/>
        <v>219690</v>
      </c>
      <c r="F24" s="25">
        <f t="shared" si="11"/>
        <v>24410</v>
      </c>
      <c r="G24" s="30">
        <v>0.2243</v>
      </c>
      <c r="H24" s="25">
        <v>296700</v>
      </c>
      <c r="I24" s="25">
        <f t="shared" si="7"/>
        <v>267030</v>
      </c>
      <c r="J24" s="25">
        <f t="shared" si="8"/>
        <v>29670</v>
      </c>
      <c r="K24" s="30">
        <v>0.27260000000000001</v>
      </c>
      <c r="L24" s="25">
        <v>202293</v>
      </c>
      <c r="M24" s="25">
        <f t="shared" si="9"/>
        <v>182063.7</v>
      </c>
      <c r="N24" s="25">
        <f t="shared" si="10"/>
        <v>20229.300000000003</v>
      </c>
      <c r="O24" s="30">
        <v>0.18590000000000001</v>
      </c>
    </row>
    <row r="25" spans="3:15" x14ac:dyDescent="0.25">
      <c r="C25" s="7" t="s">
        <v>13</v>
      </c>
      <c r="D25" s="25">
        <v>26250</v>
      </c>
      <c r="E25" s="25">
        <f t="shared" si="6"/>
        <v>23625</v>
      </c>
      <c r="F25" s="25">
        <f t="shared" si="11"/>
        <v>2625</v>
      </c>
      <c r="G25" s="30">
        <v>2.41E-2</v>
      </c>
      <c r="H25" s="25">
        <v>126745</v>
      </c>
      <c r="I25" s="25">
        <f t="shared" si="7"/>
        <v>114070.5</v>
      </c>
      <c r="J25" s="25">
        <f t="shared" si="8"/>
        <v>12674.5</v>
      </c>
      <c r="K25" s="30">
        <v>0.11650000000000001</v>
      </c>
      <c r="L25" s="25">
        <v>176765</v>
      </c>
      <c r="M25" s="25">
        <f t="shared" si="9"/>
        <v>159088.5</v>
      </c>
      <c r="N25" s="25">
        <f t="shared" si="10"/>
        <v>17676.5</v>
      </c>
      <c r="O25" s="30">
        <v>0.16239999999999999</v>
      </c>
    </row>
    <row r="26" spans="3:15" x14ac:dyDescent="0.25">
      <c r="C26" s="7" t="s">
        <v>8</v>
      </c>
      <c r="D26" s="25">
        <v>241665</v>
      </c>
      <c r="E26" s="25">
        <f t="shared" si="6"/>
        <v>217498.5</v>
      </c>
      <c r="F26" s="25">
        <f t="shared" si="11"/>
        <v>24166.5</v>
      </c>
      <c r="G26" s="30">
        <v>0.22209999999999999</v>
      </c>
      <c r="H26" s="25">
        <v>258744</v>
      </c>
      <c r="I26" s="25">
        <f t="shared" si="7"/>
        <v>232869.6</v>
      </c>
      <c r="J26" s="25">
        <f t="shared" si="8"/>
        <v>25874.400000000001</v>
      </c>
      <c r="K26" s="30">
        <v>0.23780000000000001</v>
      </c>
      <c r="L26" s="25">
        <v>332628</v>
      </c>
      <c r="M26" s="25">
        <f t="shared" si="9"/>
        <v>299365.2</v>
      </c>
      <c r="N26" s="25">
        <f t="shared" si="10"/>
        <v>33262.800000000003</v>
      </c>
      <c r="O26" s="30">
        <v>0.30570000000000003</v>
      </c>
    </row>
    <row r="27" spans="3:15" x14ac:dyDescent="0.25">
      <c r="C27" s="7" t="s">
        <v>11</v>
      </c>
      <c r="D27" s="25">
        <v>172266</v>
      </c>
      <c r="E27" s="25">
        <f t="shared" si="6"/>
        <v>155039.4</v>
      </c>
      <c r="F27" s="25">
        <f t="shared" si="11"/>
        <v>17226.600000000002</v>
      </c>
      <c r="G27" s="30">
        <v>0.1583</v>
      </c>
      <c r="H27" s="25">
        <v>208200</v>
      </c>
      <c r="I27" s="25">
        <f t="shared" si="7"/>
        <v>187380</v>
      </c>
      <c r="J27" s="25">
        <f t="shared" si="8"/>
        <v>20820</v>
      </c>
      <c r="K27" s="30">
        <v>0.1913</v>
      </c>
      <c r="L27" s="25">
        <v>224291</v>
      </c>
      <c r="M27" s="25">
        <f t="shared" si="9"/>
        <v>201861.9</v>
      </c>
      <c r="N27" s="25">
        <f t="shared" si="10"/>
        <v>22429.100000000002</v>
      </c>
      <c r="O27" s="30">
        <v>0.20610000000000001</v>
      </c>
    </row>
    <row r="28" spans="3:15" x14ac:dyDescent="0.25">
      <c r="C28" s="7" t="s">
        <v>15</v>
      </c>
      <c r="D28" s="25" t="s">
        <v>95</v>
      </c>
      <c r="E28" s="25" t="s">
        <v>95</v>
      </c>
      <c r="F28" s="25" t="e">
        <f t="shared" si="11"/>
        <v>#VALUE!</v>
      </c>
      <c r="G28" s="30" t="s">
        <v>95</v>
      </c>
      <c r="H28" s="25">
        <v>141500</v>
      </c>
      <c r="I28" s="25">
        <f t="shared" si="7"/>
        <v>127350</v>
      </c>
      <c r="J28" s="25">
        <f t="shared" si="8"/>
        <v>14150</v>
      </c>
      <c r="K28" s="30">
        <v>0.13</v>
      </c>
      <c r="L28" s="25">
        <v>202750</v>
      </c>
      <c r="M28" s="25">
        <f t="shared" si="9"/>
        <v>182475</v>
      </c>
      <c r="N28" s="25">
        <f t="shared" si="10"/>
        <v>20275</v>
      </c>
      <c r="O28" s="30">
        <v>0.18629999999999999</v>
      </c>
    </row>
    <row r="29" spans="3:15" x14ac:dyDescent="0.25">
      <c r="C29" s="7" t="s">
        <v>14</v>
      </c>
      <c r="D29" s="25" t="s">
        <v>95</v>
      </c>
      <c r="E29" s="25" t="s">
        <v>95</v>
      </c>
      <c r="F29" s="25" t="e">
        <f t="shared" si="11"/>
        <v>#VALUE!</v>
      </c>
      <c r="G29" s="30" t="s">
        <v>95</v>
      </c>
      <c r="H29" s="25">
        <v>155500</v>
      </c>
      <c r="I29" s="25">
        <f t="shared" si="7"/>
        <v>139950</v>
      </c>
      <c r="J29" s="25">
        <f t="shared" si="8"/>
        <v>15550</v>
      </c>
      <c r="K29" s="30">
        <v>0.1429</v>
      </c>
      <c r="L29" s="25">
        <v>277000</v>
      </c>
      <c r="M29" s="25">
        <f t="shared" si="9"/>
        <v>249300</v>
      </c>
      <c r="N29" s="25">
        <f t="shared" si="10"/>
        <v>27700</v>
      </c>
      <c r="O29" s="30">
        <v>0.2545</v>
      </c>
    </row>
    <row r="30" spans="3:15" x14ac:dyDescent="0.25">
      <c r="C30" s="7" t="s">
        <v>9</v>
      </c>
      <c r="D30" s="25" t="s">
        <v>95</v>
      </c>
      <c r="E30" s="25" t="s">
        <v>95</v>
      </c>
      <c r="F30" s="25" t="e">
        <f t="shared" si="11"/>
        <v>#VALUE!</v>
      </c>
      <c r="G30" s="30" t="s">
        <v>95</v>
      </c>
      <c r="H30" s="25">
        <v>211463</v>
      </c>
      <c r="I30" s="25">
        <f t="shared" si="7"/>
        <v>190316.7</v>
      </c>
      <c r="J30" s="25">
        <f t="shared" si="8"/>
        <v>21146.300000000003</v>
      </c>
      <c r="K30" s="30">
        <v>0.1943</v>
      </c>
      <c r="L30" s="25">
        <v>258906</v>
      </c>
      <c r="M30" s="25">
        <f t="shared" si="9"/>
        <v>233015.4</v>
      </c>
      <c r="N30" s="25">
        <f t="shared" si="10"/>
        <v>25890.600000000002</v>
      </c>
      <c r="O30" s="30">
        <v>0.2379</v>
      </c>
    </row>
    <row r="31" spans="3:15" x14ac:dyDescent="0.25">
      <c r="C31" s="7" t="s">
        <v>118</v>
      </c>
      <c r="D31" s="25" t="s">
        <v>95</v>
      </c>
      <c r="E31" s="25" t="s">
        <v>95</v>
      </c>
      <c r="F31" s="25" t="e">
        <f t="shared" si="11"/>
        <v>#VALUE!</v>
      </c>
      <c r="G31" s="30" t="s">
        <v>95</v>
      </c>
      <c r="H31" s="25">
        <v>185000</v>
      </c>
      <c r="I31" s="25">
        <f t="shared" si="7"/>
        <v>166500</v>
      </c>
      <c r="J31" s="25">
        <f t="shared" si="8"/>
        <v>18500</v>
      </c>
      <c r="K31" s="30">
        <v>0.17</v>
      </c>
      <c r="L31" s="25">
        <v>185000</v>
      </c>
      <c r="M31" s="25">
        <f t="shared" si="9"/>
        <v>166500</v>
      </c>
      <c r="N31" s="25">
        <f t="shared" si="10"/>
        <v>18500</v>
      </c>
      <c r="O31" s="30">
        <v>0.17</v>
      </c>
    </row>
    <row r="32" spans="3:15" x14ac:dyDescent="0.25">
      <c r="C32" s="7" t="s">
        <v>17</v>
      </c>
      <c r="D32" s="25" t="s">
        <v>95</v>
      </c>
      <c r="E32" s="25" t="s">
        <v>95</v>
      </c>
      <c r="F32" s="25" t="e">
        <f t="shared" si="11"/>
        <v>#VALUE!</v>
      </c>
      <c r="G32" s="30" t="s">
        <v>95</v>
      </c>
      <c r="H32" s="25">
        <v>399000</v>
      </c>
      <c r="I32" s="25">
        <f t="shared" si="7"/>
        <v>359100</v>
      </c>
      <c r="J32" s="25">
        <f t="shared" si="8"/>
        <v>39900</v>
      </c>
      <c r="K32" s="30">
        <v>0.36670000000000003</v>
      </c>
      <c r="L32" s="25">
        <v>395000</v>
      </c>
      <c r="M32" s="25">
        <f t="shared" si="9"/>
        <v>355500</v>
      </c>
      <c r="N32" s="25">
        <f t="shared" si="10"/>
        <v>39500</v>
      </c>
      <c r="O32" s="30">
        <v>0.36299999999999999</v>
      </c>
    </row>
    <row r="36" spans="3:15" x14ac:dyDescent="0.25">
      <c r="C36" s="49" t="s">
        <v>61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</row>
    <row r="37" spans="3:15" x14ac:dyDescent="0.25"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3:15" x14ac:dyDescent="0.25">
      <c r="C38" s="7" t="s">
        <v>126</v>
      </c>
      <c r="D38" s="5" t="s">
        <v>155</v>
      </c>
      <c r="E38" s="5" t="s">
        <v>115</v>
      </c>
      <c r="F38" s="5" t="s">
        <v>158</v>
      </c>
      <c r="G38" s="5" t="s">
        <v>86</v>
      </c>
      <c r="H38" s="5" t="s">
        <v>156</v>
      </c>
      <c r="I38" s="5" t="s">
        <v>115</v>
      </c>
      <c r="J38" s="5" t="s">
        <v>158</v>
      </c>
      <c r="K38" s="5" t="s">
        <v>86</v>
      </c>
      <c r="L38" s="5" t="s">
        <v>157</v>
      </c>
      <c r="M38" s="5" t="s">
        <v>115</v>
      </c>
      <c r="N38" s="5" t="s">
        <v>158</v>
      </c>
      <c r="O38" s="5" t="s">
        <v>86</v>
      </c>
    </row>
    <row r="39" spans="3:15" x14ac:dyDescent="0.25">
      <c r="C39" s="16" t="s">
        <v>52</v>
      </c>
      <c r="D39" s="25">
        <v>288913</v>
      </c>
      <c r="E39" s="25">
        <f t="shared" ref="E39:E56" si="12">D39*0.9</f>
        <v>260021.7</v>
      </c>
      <c r="F39" s="25">
        <f t="shared" ref="F39:F56" si="13">D39*0.1</f>
        <v>28891.300000000003</v>
      </c>
      <c r="G39" s="30">
        <v>0.21</v>
      </c>
      <c r="H39" s="25">
        <v>392284</v>
      </c>
      <c r="I39" s="25">
        <f t="shared" ref="I39:I56" si="14">H39*0.9</f>
        <v>353055.60000000003</v>
      </c>
      <c r="J39" s="25">
        <f t="shared" ref="J39:J56" si="15">H39*0.1</f>
        <v>39228.400000000001</v>
      </c>
      <c r="K39" s="30">
        <v>0.28000000000000003</v>
      </c>
      <c r="L39" s="25">
        <v>428917.14285714284</v>
      </c>
      <c r="M39" s="25">
        <f t="shared" ref="M39:M56" si="16">L39*0.9</f>
        <v>386025.42857142858</v>
      </c>
      <c r="N39" s="25">
        <f t="shared" ref="N39:N56" si="17">L39*0.1</f>
        <v>42891.71428571429</v>
      </c>
      <c r="O39" s="30">
        <v>0.3</v>
      </c>
    </row>
    <row r="40" spans="3:15" x14ac:dyDescent="0.25">
      <c r="C40" s="16" t="s">
        <v>44</v>
      </c>
      <c r="D40" s="25">
        <v>202000</v>
      </c>
      <c r="E40" s="25">
        <f t="shared" si="12"/>
        <v>181800</v>
      </c>
      <c r="F40" s="25">
        <f t="shared" si="13"/>
        <v>20200</v>
      </c>
      <c r="G40" s="30">
        <v>0.14000000000000001</v>
      </c>
      <c r="H40" s="25">
        <v>220000</v>
      </c>
      <c r="I40" s="25">
        <f t="shared" si="14"/>
        <v>198000</v>
      </c>
      <c r="J40" s="25">
        <f t="shared" si="15"/>
        <v>22000</v>
      </c>
      <c r="K40" s="30">
        <v>0.16</v>
      </c>
      <c r="L40" s="25">
        <v>243642.72727272726</v>
      </c>
      <c r="M40" s="25">
        <f t="shared" si="16"/>
        <v>219278.45454545453</v>
      </c>
      <c r="N40" s="25">
        <f t="shared" si="17"/>
        <v>24364.272727272728</v>
      </c>
      <c r="O40" s="30">
        <v>0.17</v>
      </c>
    </row>
    <row r="41" spans="3:15" x14ac:dyDescent="0.25">
      <c r="C41" s="16" t="s">
        <v>22</v>
      </c>
      <c r="D41" s="25">
        <v>187523.76744186046</v>
      </c>
      <c r="E41" s="25">
        <f t="shared" si="12"/>
        <v>168771.39069767442</v>
      </c>
      <c r="F41" s="25">
        <f t="shared" si="13"/>
        <v>18752.376744186047</v>
      </c>
      <c r="G41" s="30">
        <v>0.13</v>
      </c>
      <c r="H41" s="25">
        <v>256085.35185185185</v>
      </c>
      <c r="I41" s="25">
        <f t="shared" si="14"/>
        <v>230476.81666666668</v>
      </c>
      <c r="J41" s="25">
        <f t="shared" si="15"/>
        <v>25608.535185185188</v>
      </c>
      <c r="K41" s="30">
        <v>0.18</v>
      </c>
      <c r="L41" s="25">
        <v>259608.05660377358</v>
      </c>
      <c r="M41" s="25">
        <f t="shared" si="16"/>
        <v>233647.25094339624</v>
      </c>
      <c r="N41" s="25">
        <f t="shared" si="17"/>
        <v>25960.805660377358</v>
      </c>
      <c r="O41" s="30">
        <v>0.18</v>
      </c>
    </row>
    <row r="42" spans="3:15" x14ac:dyDescent="0.25">
      <c r="C42" s="16" t="s">
        <v>33</v>
      </c>
      <c r="D42" s="25">
        <v>209747.16666666666</v>
      </c>
      <c r="E42" s="25">
        <f t="shared" si="12"/>
        <v>188772.44999999998</v>
      </c>
      <c r="F42" s="25">
        <f t="shared" si="13"/>
        <v>20974.716666666667</v>
      </c>
      <c r="G42" s="30">
        <v>0.15</v>
      </c>
      <c r="H42" s="25">
        <v>293795.70588235295</v>
      </c>
      <c r="I42" s="25">
        <f t="shared" si="14"/>
        <v>264416.13529411767</v>
      </c>
      <c r="J42" s="25">
        <f t="shared" si="15"/>
        <v>29379.570588235296</v>
      </c>
      <c r="K42" s="30">
        <v>0.21</v>
      </c>
      <c r="L42" s="25">
        <v>314692.88</v>
      </c>
      <c r="M42" s="25">
        <f t="shared" si="16"/>
        <v>283223.592</v>
      </c>
      <c r="N42" s="25">
        <f t="shared" si="17"/>
        <v>31469.288</v>
      </c>
      <c r="O42" s="30">
        <v>0.22</v>
      </c>
    </row>
    <row r="43" spans="3:15" x14ac:dyDescent="0.25">
      <c r="C43" s="16" t="s">
        <v>43</v>
      </c>
      <c r="D43" s="25">
        <v>132500</v>
      </c>
      <c r="E43" s="25">
        <f t="shared" si="12"/>
        <v>119250</v>
      </c>
      <c r="F43" s="25">
        <f t="shared" si="13"/>
        <v>13250</v>
      </c>
      <c r="G43" s="30">
        <v>0.09</v>
      </c>
      <c r="H43" s="25">
        <v>229740</v>
      </c>
      <c r="I43" s="25">
        <f t="shared" si="14"/>
        <v>206766</v>
      </c>
      <c r="J43" s="25">
        <f t="shared" si="15"/>
        <v>22974</v>
      </c>
      <c r="K43" s="30">
        <v>0.16</v>
      </c>
      <c r="L43" s="25">
        <v>299928.57142857142</v>
      </c>
      <c r="M43" s="25">
        <f t="shared" si="16"/>
        <v>269935.71428571426</v>
      </c>
      <c r="N43" s="25">
        <f t="shared" si="17"/>
        <v>29992.857142857145</v>
      </c>
      <c r="O43" s="30">
        <v>0.21</v>
      </c>
    </row>
    <row r="44" spans="3:15" x14ac:dyDescent="0.25">
      <c r="C44" s="16" t="s">
        <v>27</v>
      </c>
      <c r="D44" s="25">
        <v>1081490</v>
      </c>
      <c r="E44" s="25">
        <f t="shared" si="12"/>
        <v>973341</v>
      </c>
      <c r="F44" s="25">
        <f t="shared" si="13"/>
        <v>108149</v>
      </c>
      <c r="G44" s="30">
        <v>0.77</v>
      </c>
      <c r="H44" s="25">
        <v>872789.47368421056</v>
      </c>
      <c r="I44" s="25">
        <f t="shared" si="14"/>
        <v>785510.52631578955</v>
      </c>
      <c r="J44" s="25">
        <f t="shared" si="15"/>
        <v>87278.947368421068</v>
      </c>
      <c r="K44" s="30">
        <v>0.62</v>
      </c>
      <c r="L44" s="25">
        <v>1138666.6666666667</v>
      </c>
      <c r="M44" s="25">
        <f t="shared" si="16"/>
        <v>1024800.0000000001</v>
      </c>
      <c r="N44" s="25">
        <f t="shared" si="17"/>
        <v>113866.66666666669</v>
      </c>
      <c r="O44" s="30">
        <v>0.81</v>
      </c>
    </row>
    <row r="45" spans="3:15" x14ac:dyDescent="0.25">
      <c r="C45" s="16" t="s">
        <v>63</v>
      </c>
      <c r="D45" s="25">
        <v>397152.38095238095</v>
      </c>
      <c r="E45" s="25">
        <f t="shared" si="12"/>
        <v>357437.14285714284</v>
      </c>
      <c r="F45" s="25">
        <f t="shared" si="13"/>
        <v>39715.238095238099</v>
      </c>
      <c r="G45" s="30">
        <v>0.28000000000000003</v>
      </c>
      <c r="H45" s="25">
        <v>515114.28</v>
      </c>
      <c r="I45" s="25">
        <f t="shared" si="14"/>
        <v>463602.85200000001</v>
      </c>
      <c r="J45" s="25">
        <f t="shared" si="15"/>
        <v>51511.428000000007</v>
      </c>
      <c r="K45" s="30">
        <v>0.37</v>
      </c>
      <c r="L45" s="25">
        <v>657446.66666666663</v>
      </c>
      <c r="M45" s="25">
        <f t="shared" si="16"/>
        <v>591702</v>
      </c>
      <c r="N45" s="25">
        <f t="shared" si="17"/>
        <v>65744.666666666672</v>
      </c>
      <c r="O45" s="30">
        <v>0.47</v>
      </c>
    </row>
    <row r="46" spans="3:15" x14ac:dyDescent="0.25">
      <c r="C46" s="16" t="s">
        <v>65</v>
      </c>
      <c r="D46" s="25">
        <v>439796.78028933093</v>
      </c>
      <c r="E46" s="25">
        <f t="shared" si="12"/>
        <v>395817.10226039786</v>
      </c>
      <c r="F46" s="25">
        <f t="shared" si="13"/>
        <v>43979.678028933093</v>
      </c>
      <c r="G46" s="30">
        <v>0.31</v>
      </c>
      <c r="H46" s="25">
        <v>915664.78581363009</v>
      </c>
      <c r="I46" s="25">
        <f t="shared" si="14"/>
        <v>824098.30723226711</v>
      </c>
      <c r="J46" s="25">
        <f t="shared" si="15"/>
        <v>91566.478581363015</v>
      </c>
      <c r="K46" s="30">
        <v>0.65</v>
      </c>
      <c r="L46" s="25">
        <v>1527100.0687799044</v>
      </c>
      <c r="M46" s="25">
        <f t="shared" si="16"/>
        <v>1374390.061901914</v>
      </c>
      <c r="N46" s="25">
        <f t="shared" si="17"/>
        <v>152710.00687799044</v>
      </c>
      <c r="O46" s="30">
        <v>1.0900000000000001</v>
      </c>
    </row>
    <row r="47" spans="3:15" x14ac:dyDescent="0.25">
      <c r="C47" s="16" t="s">
        <v>21</v>
      </c>
      <c r="D47" s="25">
        <v>337412.25</v>
      </c>
      <c r="E47" s="25">
        <f t="shared" si="12"/>
        <v>303671.02500000002</v>
      </c>
      <c r="F47" s="25">
        <f t="shared" si="13"/>
        <v>33741.224999999999</v>
      </c>
      <c r="G47" s="30">
        <v>0.24</v>
      </c>
      <c r="H47" s="25">
        <v>491924.5263157895</v>
      </c>
      <c r="I47" s="25">
        <f t="shared" si="14"/>
        <v>442732.07368421054</v>
      </c>
      <c r="J47" s="25">
        <f t="shared" si="15"/>
        <v>49192.452631578955</v>
      </c>
      <c r="K47" s="30">
        <v>0.35</v>
      </c>
      <c r="L47" s="25">
        <v>648590.46666666667</v>
      </c>
      <c r="M47" s="25">
        <f t="shared" si="16"/>
        <v>583731.42000000004</v>
      </c>
      <c r="N47" s="25">
        <f t="shared" si="17"/>
        <v>64859.046666666669</v>
      </c>
      <c r="O47" s="30">
        <v>0.46</v>
      </c>
    </row>
    <row r="48" spans="3:15" x14ac:dyDescent="0.25">
      <c r="C48" s="16" t="s">
        <v>32</v>
      </c>
      <c r="D48" s="25">
        <v>110633.33333333333</v>
      </c>
      <c r="E48" s="25">
        <f t="shared" si="12"/>
        <v>99570</v>
      </c>
      <c r="F48" s="25">
        <f t="shared" si="13"/>
        <v>11063.333333333334</v>
      </c>
      <c r="G48" s="30">
        <v>0.08</v>
      </c>
      <c r="H48" s="25">
        <v>188000</v>
      </c>
      <c r="I48" s="25">
        <f t="shared" si="14"/>
        <v>169200</v>
      </c>
      <c r="J48" s="25">
        <f t="shared" si="15"/>
        <v>18800</v>
      </c>
      <c r="K48" s="30">
        <v>0.13</v>
      </c>
      <c r="L48" s="25">
        <v>220000</v>
      </c>
      <c r="M48" s="25">
        <f t="shared" si="16"/>
        <v>198000</v>
      </c>
      <c r="N48" s="25">
        <f t="shared" si="17"/>
        <v>22000</v>
      </c>
      <c r="O48" s="30">
        <v>0.16</v>
      </c>
    </row>
    <row r="49" spans="3:15" x14ac:dyDescent="0.25">
      <c r="C49" s="16" t="s">
        <v>48</v>
      </c>
      <c r="D49" s="25" t="s">
        <v>131</v>
      </c>
      <c r="E49" s="25" t="s">
        <v>131</v>
      </c>
      <c r="F49" s="25" t="e">
        <f t="shared" si="13"/>
        <v>#VALUE!</v>
      </c>
      <c r="G49" s="30" t="s">
        <v>131</v>
      </c>
      <c r="H49" s="25">
        <v>241633.33333333334</v>
      </c>
      <c r="I49" s="25">
        <f t="shared" si="14"/>
        <v>217470</v>
      </c>
      <c r="J49" s="25">
        <f t="shared" si="15"/>
        <v>24163.333333333336</v>
      </c>
      <c r="K49" s="30">
        <v>0.17</v>
      </c>
      <c r="L49" s="25">
        <v>439750</v>
      </c>
      <c r="M49" s="25">
        <f t="shared" si="16"/>
        <v>395775</v>
      </c>
      <c r="N49" s="25">
        <f t="shared" si="17"/>
        <v>43975</v>
      </c>
      <c r="O49" s="30">
        <v>0.17</v>
      </c>
    </row>
    <row r="50" spans="3:15" x14ac:dyDescent="0.25">
      <c r="C50" s="16" t="s">
        <v>129</v>
      </c>
      <c r="D50" s="25">
        <v>492081.63333333336</v>
      </c>
      <c r="E50" s="25">
        <f t="shared" si="12"/>
        <v>442873.47000000003</v>
      </c>
      <c r="F50" s="25">
        <f t="shared" si="13"/>
        <v>49208.163333333338</v>
      </c>
      <c r="G50" s="30">
        <v>0.35</v>
      </c>
      <c r="H50" s="25">
        <v>706021.4</v>
      </c>
      <c r="I50" s="25">
        <f t="shared" si="14"/>
        <v>635419.26</v>
      </c>
      <c r="J50" s="25">
        <f t="shared" si="15"/>
        <v>70602.14</v>
      </c>
      <c r="K50" s="30">
        <v>0.5</v>
      </c>
      <c r="L50" s="25">
        <v>969505.76785714284</v>
      </c>
      <c r="M50" s="25">
        <f t="shared" si="16"/>
        <v>872555.19107142859</v>
      </c>
      <c r="N50" s="25">
        <f t="shared" si="17"/>
        <v>96950.576785714293</v>
      </c>
      <c r="O50" s="30">
        <v>0.69</v>
      </c>
    </row>
    <row r="51" spans="3:15" x14ac:dyDescent="0.25">
      <c r="C51" s="16" t="s">
        <v>130</v>
      </c>
      <c r="D51" s="25">
        <v>240889.96428571429</v>
      </c>
      <c r="E51" s="25">
        <f t="shared" si="12"/>
        <v>216800.96785714285</v>
      </c>
      <c r="F51" s="25">
        <f t="shared" si="13"/>
        <v>24088.99642857143</v>
      </c>
      <c r="G51" s="30">
        <v>0.17</v>
      </c>
      <c r="H51" s="25">
        <v>389277.5</v>
      </c>
      <c r="I51" s="25">
        <f t="shared" si="14"/>
        <v>350349.75</v>
      </c>
      <c r="J51" s="25">
        <f t="shared" si="15"/>
        <v>38927.75</v>
      </c>
      <c r="K51" s="30">
        <v>0.28000000000000003</v>
      </c>
      <c r="L51" s="25">
        <v>495916.61224489799</v>
      </c>
      <c r="M51" s="25">
        <f t="shared" si="16"/>
        <v>446324.95102040819</v>
      </c>
      <c r="N51" s="25">
        <f t="shared" si="17"/>
        <v>49591.661224489799</v>
      </c>
      <c r="O51" s="30">
        <v>0.35</v>
      </c>
    </row>
    <row r="52" spans="3:15" x14ac:dyDescent="0.25">
      <c r="C52" s="12" t="s">
        <v>54</v>
      </c>
      <c r="D52" s="25">
        <v>212180</v>
      </c>
      <c r="E52" s="25">
        <f t="shared" si="12"/>
        <v>190962</v>
      </c>
      <c r="F52" s="25">
        <f t="shared" si="13"/>
        <v>21218</v>
      </c>
      <c r="G52" s="30">
        <v>0.15</v>
      </c>
      <c r="H52" s="25">
        <v>230000</v>
      </c>
      <c r="I52" s="25">
        <f t="shared" si="14"/>
        <v>207000</v>
      </c>
      <c r="J52" s="25">
        <f t="shared" si="15"/>
        <v>23000</v>
      </c>
      <c r="K52" s="30">
        <v>0.16</v>
      </c>
      <c r="L52" s="25">
        <v>259900</v>
      </c>
      <c r="M52" s="25">
        <f t="shared" si="16"/>
        <v>233910</v>
      </c>
      <c r="N52" s="25">
        <f t="shared" si="17"/>
        <v>25990</v>
      </c>
      <c r="O52" s="30">
        <v>0.18</v>
      </c>
    </row>
    <row r="53" spans="3:15" x14ac:dyDescent="0.25">
      <c r="C53" s="16" t="s">
        <v>57</v>
      </c>
      <c r="D53" s="25">
        <v>138325</v>
      </c>
      <c r="E53" s="25">
        <f t="shared" si="12"/>
        <v>124492.5</v>
      </c>
      <c r="F53" s="25">
        <f t="shared" si="13"/>
        <v>13832.5</v>
      </c>
      <c r="G53" s="30">
        <v>0.1</v>
      </c>
      <c r="H53" s="25">
        <v>192333.33333333334</v>
      </c>
      <c r="I53" s="25">
        <f t="shared" si="14"/>
        <v>173100</v>
      </c>
      <c r="J53" s="25">
        <f t="shared" si="15"/>
        <v>19233.333333333336</v>
      </c>
      <c r="K53" s="30">
        <v>0.14000000000000001</v>
      </c>
      <c r="L53" s="25" t="s">
        <v>131</v>
      </c>
      <c r="M53" s="25" t="s">
        <v>131</v>
      </c>
      <c r="N53" s="25" t="e">
        <f t="shared" si="17"/>
        <v>#VALUE!</v>
      </c>
      <c r="O53" s="30" t="s">
        <v>131</v>
      </c>
    </row>
    <row r="54" spans="3:15" x14ac:dyDescent="0.25">
      <c r="C54" s="16" t="s">
        <v>68</v>
      </c>
      <c r="D54" s="25">
        <v>257000</v>
      </c>
      <c r="E54" s="25">
        <f t="shared" si="12"/>
        <v>231300</v>
      </c>
      <c r="F54" s="25">
        <f t="shared" si="13"/>
        <v>25700</v>
      </c>
      <c r="G54" s="30">
        <v>0.18</v>
      </c>
      <c r="H54" s="25">
        <v>430750</v>
      </c>
      <c r="I54" s="25">
        <f t="shared" si="14"/>
        <v>387675</v>
      </c>
      <c r="J54" s="25">
        <f t="shared" si="15"/>
        <v>43075</v>
      </c>
      <c r="K54" s="30">
        <v>0.31</v>
      </c>
      <c r="L54" s="25">
        <v>478430</v>
      </c>
      <c r="M54" s="25">
        <f t="shared" si="16"/>
        <v>430587</v>
      </c>
      <c r="N54" s="25">
        <f t="shared" si="17"/>
        <v>47843</v>
      </c>
      <c r="O54" s="30">
        <v>0.34</v>
      </c>
    </row>
    <row r="55" spans="3:15" x14ac:dyDescent="0.25">
      <c r="C55" s="16" t="s">
        <v>36</v>
      </c>
      <c r="D55" s="25">
        <v>266000</v>
      </c>
      <c r="E55" s="25">
        <f t="shared" si="12"/>
        <v>239400</v>
      </c>
      <c r="F55" s="25">
        <f t="shared" si="13"/>
        <v>26600</v>
      </c>
      <c r="G55" s="30">
        <v>0.19</v>
      </c>
      <c r="H55" s="25">
        <v>403990</v>
      </c>
      <c r="I55" s="25">
        <f t="shared" si="14"/>
        <v>363591</v>
      </c>
      <c r="J55" s="25">
        <f t="shared" si="15"/>
        <v>40399</v>
      </c>
      <c r="K55" s="30">
        <v>0.28999999999999998</v>
      </c>
      <c r="L55" s="25">
        <v>540653.33333333337</v>
      </c>
      <c r="M55" s="25">
        <f t="shared" si="16"/>
        <v>486588.00000000006</v>
      </c>
      <c r="N55" s="25">
        <f t="shared" si="17"/>
        <v>54065.333333333343</v>
      </c>
      <c r="O55" s="30">
        <v>0.38</v>
      </c>
    </row>
    <row r="56" spans="3:15" x14ac:dyDescent="0.25">
      <c r="C56" s="16" t="s">
        <v>23</v>
      </c>
      <c r="D56" s="25">
        <v>312320.66666666669</v>
      </c>
      <c r="E56" s="25">
        <f t="shared" si="12"/>
        <v>281088.60000000003</v>
      </c>
      <c r="F56" s="25">
        <f t="shared" si="13"/>
        <v>31232.066666666669</v>
      </c>
      <c r="G56" s="30">
        <v>0.22</v>
      </c>
      <c r="H56" s="25">
        <v>288266.66666666669</v>
      </c>
      <c r="I56" s="25">
        <f t="shared" si="14"/>
        <v>259440.00000000003</v>
      </c>
      <c r="J56" s="25">
        <f t="shared" si="15"/>
        <v>28826.666666666672</v>
      </c>
      <c r="K56" s="30">
        <v>0.2</v>
      </c>
      <c r="L56" s="25">
        <v>366250</v>
      </c>
      <c r="M56" s="25">
        <f t="shared" si="16"/>
        <v>329625</v>
      </c>
      <c r="N56" s="25">
        <f t="shared" si="17"/>
        <v>36625</v>
      </c>
      <c r="O56" s="30">
        <v>0.26</v>
      </c>
    </row>
  </sheetData>
  <mergeCells count="3">
    <mergeCell ref="C5:O6"/>
    <mergeCell ref="C18:O19"/>
    <mergeCell ref="C36:O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E730-30C1-41F5-AB60-254A2E8A077B}">
  <dimension ref="E1:K21"/>
  <sheetViews>
    <sheetView workbookViewId="0">
      <selection activeCell="K21" sqref="K21"/>
    </sheetView>
  </sheetViews>
  <sheetFormatPr baseColWidth="10" defaultRowHeight="15" x14ac:dyDescent="0.25"/>
  <sheetData>
    <row r="1" spans="5:9" x14ac:dyDescent="0.25">
      <c r="E1" s="36" t="s">
        <v>133</v>
      </c>
      <c r="F1" s="36"/>
      <c r="G1" s="36"/>
    </row>
    <row r="2" spans="5:9" x14ac:dyDescent="0.25">
      <c r="E2" s="36"/>
      <c r="F2" s="36"/>
      <c r="G2" s="36"/>
    </row>
    <row r="3" spans="5:9" x14ac:dyDescent="0.25">
      <c r="E3" s="39" t="s">
        <v>143</v>
      </c>
      <c r="F3" s="39"/>
      <c r="G3" s="39"/>
      <c r="H3" s="39" t="s">
        <v>142</v>
      </c>
      <c r="I3" s="39"/>
    </row>
    <row r="4" spans="5:9" x14ac:dyDescent="0.25">
      <c r="E4" s="5" t="s">
        <v>128</v>
      </c>
      <c r="F4" s="5" t="s">
        <v>61</v>
      </c>
      <c r="G4" s="5" t="s">
        <v>132</v>
      </c>
      <c r="H4" s="5" t="s">
        <v>139</v>
      </c>
      <c r="I4" s="5" t="s">
        <v>140</v>
      </c>
    </row>
    <row r="5" spans="5:9" x14ac:dyDescent="0.25">
      <c r="E5" s="5">
        <v>2009</v>
      </c>
      <c r="F5" s="30">
        <v>2.7E-2</v>
      </c>
      <c r="G5" s="30">
        <v>4.8000000000000001E-2</v>
      </c>
      <c r="H5" s="4"/>
      <c r="I5" s="4"/>
    </row>
    <row r="6" spans="5:9" x14ac:dyDescent="0.25">
      <c r="E6" s="5">
        <v>2010</v>
      </c>
      <c r="F6" s="30">
        <v>3.4000000000000002E-2</v>
      </c>
      <c r="G6" s="30">
        <v>0.05</v>
      </c>
      <c r="H6" s="28">
        <f>F6-F5</f>
        <v>7.0000000000000027E-3</v>
      </c>
      <c r="I6" s="28">
        <f>G6-G5</f>
        <v>2.0000000000000018E-3</v>
      </c>
    </row>
    <row r="7" spans="5:9" x14ac:dyDescent="0.25">
      <c r="E7" s="5">
        <v>2011</v>
      </c>
      <c r="F7" s="30">
        <v>2.9000000000000001E-2</v>
      </c>
      <c r="G7" s="30">
        <v>7.0999999999999994E-2</v>
      </c>
      <c r="H7" s="28">
        <f t="shared" ref="H7:H21" si="0">F7-F6</f>
        <v>-5.000000000000001E-3</v>
      </c>
      <c r="I7" s="28">
        <f t="shared" ref="I7:I21" si="1">G7-G6</f>
        <v>2.0999999999999991E-2</v>
      </c>
    </row>
    <row r="8" spans="5:9" x14ac:dyDescent="0.25">
      <c r="E8" s="5">
        <v>2012</v>
      </c>
      <c r="F8" s="30">
        <v>3.9E-2</v>
      </c>
      <c r="G8" s="30">
        <v>5.0999999999999997E-2</v>
      </c>
      <c r="H8" s="28">
        <f t="shared" si="0"/>
        <v>9.9999999999999985E-3</v>
      </c>
      <c r="I8" s="28">
        <f t="shared" si="1"/>
        <v>-1.9999999999999997E-2</v>
      </c>
    </row>
    <row r="9" spans="5:9" x14ac:dyDescent="0.25">
      <c r="E9" s="5">
        <v>2013</v>
      </c>
      <c r="F9" s="30">
        <v>4.2999999999999997E-2</v>
      </c>
      <c r="G9" s="30">
        <v>4.7E-2</v>
      </c>
      <c r="H9" s="28">
        <f t="shared" si="0"/>
        <v>3.9999999999999966E-3</v>
      </c>
      <c r="I9" s="28">
        <f t="shared" si="1"/>
        <v>-3.9999999999999966E-3</v>
      </c>
    </row>
    <row r="10" spans="5:9" x14ac:dyDescent="0.25">
      <c r="E10" s="5">
        <v>2014</v>
      </c>
      <c r="F10" s="30">
        <v>6.0999999999999999E-2</v>
      </c>
      <c r="G10" s="30">
        <v>4.2999999999999997E-2</v>
      </c>
      <c r="H10" s="28">
        <f t="shared" si="0"/>
        <v>1.8000000000000002E-2</v>
      </c>
      <c r="I10" s="28">
        <f t="shared" si="1"/>
        <v>-4.0000000000000036E-3</v>
      </c>
    </row>
    <row r="11" spans="5:9" x14ac:dyDescent="0.25">
      <c r="E11" s="5">
        <v>2015</v>
      </c>
      <c r="F11" s="30">
        <v>5.5E-2</v>
      </c>
      <c r="G11" s="30">
        <v>0.08</v>
      </c>
      <c r="H11" s="28">
        <f t="shared" si="0"/>
        <v>-5.9999999999999984E-3</v>
      </c>
      <c r="I11" s="28">
        <f t="shared" si="1"/>
        <v>3.7000000000000005E-2</v>
      </c>
    </row>
    <row r="12" spans="5:9" x14ac:dyDescent="0.25">
      <c r="E12" s="5">
        <v>2016</v>
      </c>
      <c r="F12" s="30">
        <v>4.9000000000000002E-2</v>
      </c>
      <c r="G12" s="30">
        <v>7.0999999999999994E-2</v>
      </c>
      <c r="H12" s="28">
        <f t="shared" si="0"/>
        <v>-5.9999999999999984E-3</v>
      </c>
      <c r="I12" s="28">
        <f t="shared" si="1"/>
        <v>-9.000000000000008E-3</v>
      </c>
    </row>
    <row r="13" spans="5:9" x14ac:dyDescent="0.25">
      <c r="E13" s="5">
        <v>2017</v>
      </c>
      <c r="F13" s="30">
        <v>7.8E-2</v>
      </c>
      <c r="G13" s="30">
        <v>7.8E-2</v>
      </c>
      <c r="H13" s="28">
        <f t="shared" si="0"/>
        <v>2.8999999999999998E-2</v>
      </c>
      <c r="I13" s="28">
        <f t="shared" si="1"/>
        <v>7.0000000000000062E-3</v>
      </c>
    </row>
    <row r="14" spans="5:9" x14ac:dyDescent="0.25">
      <c r="E14" s="5">
        <v>2018</v>
      </c>
      <c r="F14" s="30">
        <v>7.3999999999999996E-2</v>
      </c>
      <c r="G14" s="30">
        <v>0.10100000000000001</v>
      </c>
      <c r="H14" s="28">
        <f t="shared" si="0"/>
        <v>-4.0000000000000036E-3</v>
      </c>
      <c r="I14" s="28">
        <f t="shared" si="1"/>
        <v>2.3000000000000007E-2</v>
      </c>
    </row>
    <row r="15" spans="5:9" x14ac:dyDescent="0.25">
      <c r="E15" s="5">
        <v>2019</v>
      </c>
      <c r="F15" s="30">
        <v>0.108</v>
      </c>
      <c r="G15" s="30">
        <v>0.115</v>
      </c>
      <c r="H15" s="28">
        <f t="shared" si="0"/>
        <v>3.4000000000000002E-2</v>
      </c>
      <c r="I15" s="28">
        <f t="shared" si="1"/>
        <v>1.3999999999999999E-2</v>
      </c>
    </row>
    <row r="16" spans="5:9" x14ac:dyDescent="0.25">
      <c r="E16" s="5">
        <v>2020</v>
      </c>
      <c r="F16" s="30">
        <v>0.14799999999999999</v>
      </c>
      <c r="G16" s="30">
        <v>0.124</v>
      </c>
      <c r="H16" s="28">
        <f t="shared" si="0"/>
        <v>3.9999999999999994E-2</v>
      </c>
      <c r="I16" s="28">
        <f t="shared" si="1"/>
        <v>8.9999999999999941E-3</v>
      </c>
    </row>
    <row r="17" spans="5:11" x14ac:dyDescent="0.25">
      <c r="E17" s="5">
        <v>2021</v>
      </c>
      <c r="F17" s="30">
        <v>0.17499999999999999</v>
      </c>
      <c r="G17" s="30">
        <v>0.16500000000000001</v>
      </c>
      <c r="H17" s="28">
        <f t="shared" si="0"/>
        <v>2.6999999999999996E-2</v>
      </c>
      <c r="I17" s="28">
        <f t="shared" si="1"/>
        <v>4.1000000000000009E-2</v>
      </c>
    </row>
    <row r="18" spans="5:11" x14ac:dyDescent="0.25">
      <c r="E18" s="5">
        <v>2022</v>
      </c>
      <c r="F18" s="30">
        <v>0.24399999999999999</v>
      </c>
      <c r="G18" s="30">
        <v>0.216</v>
      </c>
      <c r="H18" s="28">
        <f t="shared" si="0"/>
        <v>6.9000000000000006E-2</v>
      </c>
      <c r="I18" s="28">
        <f t="shared" si="1"/>
        <v>5.099999999999999E-2</v>
      </c>
    </row>
    <row r="19" spans="5:11" x14ac:dyDescent="0.25">
      <c r="E19" s="5">
        <v>2023</v>
      </c>
      <c r="F19" s="30">
        <v>0.28599999999999998</v>
      </c>
      <c r="G19" s="30">
        <v>0.26400000000000001</v>
      </c>
      <c r="H19" s="28">
        <f t="shared" si="0"/>
        <v>4.1999999999999982E-2</v>
      </c>
      <c r="I19" s="28">
        <f t="shared" si="1"/>
        <v>4.8000000000000015E-2</v>
      </c>
    </row>
    <row r="20" spans="5:11" x14ac:dyDescent="0.25">
      <c r="E20" s="5">
        <v>2024</v>
      </c>
      <c r="F20" s="34">
        <v>0.32700000000000001</v>
      </c>
      <c r="G20" s="34">
        <v>0.29100000000000004</v>
      </c>
      <c r="H20" s="35">
        <f t="shared" si="0"/>
        <v>4.1000000000000036E-2</v>
      </c>
      <c r="I20" s="35">
        <f t="shared" si="1"/>
        <v>2.7000000000000024E-2</v>
      </c>
      <c r="K20" t="s">
        <v>159</v>
      </c>
    </row>
    <row r="21" spans="5:11" x14ac:dyDescent="0.25">
      <c r="E21" s="5">
        <v>2025</v>
      </c>
      <c r="F21" s="34">
        <v>0.36899999999999999</v>
      </c>
      <c r="G21" s="34">
        <v>0.311</v>
      </c>
      <c r="H21" s="35">
        <f t="shared" si="0"/>
        <v>4.1999999999999982E-2</v>
      </c>
      <c r="I21" s="35">
        <f t="shared" si="1"/>
        <v>1.9999999999999962E-2</v>
      </c>
    </row>
  </sheetData>
  <mergeCells count="3">
    <mergeCell ref="E1:G2"/>
    <mergeCell ref="E3:G3"/>
    <mergeCell ref="H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C6DE-2B55-48F1-A76C-1F15DBFD0505}">
  <dimension ref="G4:M16"/>
  <sheetViews>
    <sheetView workbookViewId="0">
      <selection activeCell="H5" sqref="H5:J5"/>
    </sheetView>
  </sheetViews>
  <sheetFormatPr baseColWidth="10" defaultRowHeight="15" x14ac:dyDescent="0.25"/>
  <sheetData>
    <row r="4" spans="7:13" x14ac:dyDescent="0.25">
      <c r="G4" s="20"/>
      <c r="H4" s="50" t="s">
        <v>144</v>
      </c>
      <c r="I4" s="50"/>
      <c r="J4" s="51"/>
      <c r="K4" s="50" t="s">
        <v>142</v>
      </c>
      <c r="L4" s="50"/>
      <c r="M4" s="51"/>
    </row>
    <row r="5" spans="7:13" x14ac:dyDescent="0.25">
      <c r="G5" s="7" t="s">
        <v>128</v>
      </c>
      <c r="H5" s="5" t="s">
        <v>61</v>
      </c>
      <c r="I5" s="5" t="s">
        <v>8</v>
      </c>
      <c r="J5" s="5" t="s">
        <v>116</v>
      </c>
      <c r="K5" s="5" t="s">
        <v>139</v>
      </c>
      <c r="L5" s="5" t="s">
        <v>141</v>
      </c>
      <c r="M5" s="7" t="s">
        <v>139</v>
      </c>
    </row>
    <row r="6" spans="7:13" x14ac:dyDescent="0.25">
      <c r="G6" s="7">
        <v>2015</v>
      </c>
      <c r="H6" s="29">
        <v>0</v>
      </c>
      <c r="I6" s="29">
        <v>0</v>
      </c>
      <c r="J6" s="29">
        <v>0</v>
      </c>
      <c r="K6" s="4"/>
      <c r="L6" s="4"/>
      <c r="M6" s="4"/>
    </row>
    <row r="7" spans="7:13" x14ac:dyDescent="0.25">
      <c r="G7" s="7">
        <v>2016</v>
      </c>
      <c r="H7" s="29">
        <v>-0.01</v>
      </c>
      <c r="I7" s="29">
        <v>0.01</v>
      </c>
      <c r="J7" s="29">
        <v>0.03</v>
      </c>
      <c r="K7" s="11">
        <f>H7-H6</f>
        <v>-0.01</v>
      </c>
      <c r="L7" s="11">
        <f>I7-I6</f>
        <v>0.01</v>
      </c>
      <c r="M7" s="11">
        <f>J7-J6</f>
        <v>0.03</v>
      </c>
    </row>
    <row r="8" spans="7:13" x14ac:dyDescent="0.25">
      <c r="G8" s="7">
        <v>2017</v>
      </c>
      <c r="H8" s="29">
        <v>0.01</v>
      </c>
      <c r="I8" s="29">
        <v>0.01</v>
      </c>
      <c r="J8" s="29">
        <v>0.12</v>
      </c>
      <c r="K8" s="11">
        <f t="shared" ref="K8:K16" si="0">H8-H7</f>
        <v>0.02</v>
      </c>
      <c r="L8" s="11">
        <f t="shared" ref="L8:L16" si="1">I8-I7</f>
        <v>0</v>
      </c>
      <c r="M8" s="11">
        <f t="shared" ref="M8:M16" si="2">J8-J7</f>
        <v>0.09</v>
      </c>
    </row>
    <row r="9" spans="7:13" x14ac:dyDescent="0.25">
      <c r="G9" s="7">
        <v>2018</v>
      </c>
      <c r="H9" s="29">
        <v>0.26</v>
      </c>
      <c r="I9" s="29">
        <v>7.0000000000000007E-2</v>
      </c>
      <c r="J9" s="29">
        <v>0.2</v>
      </c>
      <c r="K9" s="11">
        <f t="shared" si="0"/>
        <v>0.25</v>
      </c>
      <c r="L9" s="11">
        <f t="shared" si="1"/>
        <v>6.0000000000000005E-2</v>
      </c>
      <c r="M9" s="11">
        <f t="shared" si="2"/>
        <v>8.0000000000000016E-2</v>
      </c>
    </row>
    <row r="10" spans="7:13" x14ac:dyDescent="0.25">
      <c r="G10" s="7">
        <v>2019</v>
      </c>
      <c r="H10" s="29">
        <v>0.26</v>
      </c>
      <c r="I10" s="29">
        <v>0.14000000000000001</v>
      </c>
      <c r="J10" s="29">
        <v>0.3</v>
      </c>
      <c r="K10" s="11">
        <f t="shared" si="0"/>
        <v>0</v>
      </c>
      <c r="L10" s="11">
        <f t="shared" si="1"/>
        <v>7.0000000000000007E-2</v>
      </c>
      <c r="M10" s="11">
        <f t="shared" si="2"/>
        <v>9.9999999999999978E-2</v>
      </c>
    </row>
    <row r="11" spans="7:13" x14ac:dyDescent="0.25">
      <c r="G11" s="7">
        <v>2020</v>
      </c>
      <c r="H11" s="29">
        <v>0.32</v>
      </c>
      <c r="I11" s="29">
        <v>0.15</v>
      </c>
      <c r="J11" s="29">
        <v>0.37</v>
      </c>
      <c r="K11" s="11">
        <f t="shared" si="0"/>
        <v>0.06</v>
      </c>
      <c r="L11" s="11">
        <f t="shared" si="1"/>
        <v>9.9999999999999811E-3</v>
      </c>
      <c r="M11" s="11">
        <f t="shared" si="2"/>
        <v>7.0000000000000007E-2</v>
      </c>
    </row>
    <row r="12" spans="7:13" x14ac:dyDescent="0.25">
      <c r="G12" s="7">
        <v>2021</v>
      </c>
      <c r="H12" s="29">
        <v>0.39</v>
      </c>
      <c r="I12" s="29">
        <v>0.1</v>
      </c>
      <c r="J12" s="29">
        <v>0.45</v>
      </c>
      <c r="K12" s="11">
        <f t="shared" si="0"/>
        <v>7.0000000000000007E-2</v>
      </c>
      <c r="L12" s="11">
        <f t="shared" si="1"/>
        <v>-4.9999999999999989E-2</v>
      </c>
      <c r="M12" s="11">
        <f t="shared" si="2"/>
        <v>8.0000000000000016E-2</v>
      </c>
    </row>
    <row r="13" spans="7:13" x14ac:dyDescent="0.25">
      <c r="G13" s="7">
        <v>2022</v>
      </c>
      <c r="H13" s="29">
        <v>0.26</v>
      </c>
      <c r="I13" s="29">
        <v>0.14000000000000001</v>
      </c>
      <c r="J13" s="29">
        <v>0.61</v>
      </c>
      <c r="K13" s="11">
        <f t="shared" si="0"/>
        <v>-0.13</v>
      </c>
      <c r="L13" s="11">
        <f t="shared" si="1"/>
        <v>4.0000000000000008E-2</v>
      </c>
      <c r="M13" s="11">
        <f t="shared" si="2"/>
        <v>0.15999999999999998</v>
      </c>
    </row>
    <row r="14" spans="7:13" x14ac:dyDescent="0.25">
      <c r="G14" s="7">
        <v>2023</v>
      </c>
      <c r="H14" s="29">
        <v>0.45</v>
      </c>
      <c r="I14" s="29">
        <v>0.22</v>
      </c>
      <c r="J14" s="29">
        <v>0.81</v>
      </c>
      <c r="K14" s="11">
        <f t="shared" si="0"/>
        <v>0.19</v>
      </c>
      <c r="L14" s="11">
        <f t="shared" si="1"/>
        <v>7.9999999999999988E-2</v>
      </c>
      <c r="M14" s="11">
        <f t="shared" si="2"/>
        <v>0.20000000000000007</v>
      </c>
    </row>
    <row r="15" spans="7:13" x14ac:dyDescent="0.25">
      <c r="G15" s="7">
        <v>2024</v>
      </c>
      <c r="H15" s="29">
        <v>0.61</v>
      </c>
      <c r="I15" s="29">
        <v>0.3</v>
      </c>
      <c r="J15" s="29">
        <v>1.02</v>
      </c>
      <c r="K15" s="11">
        <f t="shared" si="0"/>
        <v>0.15999999999999998</v>
      </c>
      <c r="L15" s="11">
        <f t="shared" si="1"/>
        <v>7.9999999999999988E-2</v>
      </c>
      <c r="M15" s="11">
        <f t="shared" si="2"/>
        <v>0.20999999999999996</v>
      </c>
    </row>
    <row r="16" spans="7:13" x14ac:dyDescent="0.25">
      <c r="G16" s="7">
        <v>2025</v>
      </c>
      <c r="H16" s="29">
        <v>0.93</v>
      </c>
      <c r="I16" s="29">
        <v>0.4</v>
      </c>
      <c r="J16" s="29">
        <v>1.28</v>
      </c>
      <c r="K16" s="11">
        <f t="shared" si="0"/>
        <v>0.32000000000000006</v>
      </c>
      <c r="L16" s="11">
        <f t="shared" si="1"/>
        <v>0.10000000000000003</v>
      </c>
      <c r="M16" s="11">
        <f t="shared" si="2"/>
        <v>0.26</v>
      </c>
    </row>
  </sheetData>
  <mergeCells count="2">
    <mergeCell ref="H4:J4"/>
    <mergeCell ref="K4:M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C64AAD-5664-4AEB-A151-567906F4D7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Evolutivo</vt:lpstr>
      <vt:lpstr>Grafico (2)</vt:lpstr>
      <vt:lpstr>Unidades_viviendas</vt:lpstr>
      <vt:lpstr>Unidades_EDA</vt:lpstr>
      <vt:lpstr>Rentabilidad_años</vt:lpstr>
      <vt:lpstr>%_Salario</vt:lpstr>
      <vt:lpstr>Salario</vt:lpstr>
      <vt:lpstr>Incremento vivienda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Jacobo Pérez</dc:creator>
  <cp:lastModifiedBy>Jacobo Pérez</cp:lastModifiedBy>
  <dcterms:created xsi:type="dcterms:W3CDTF">2025-10-01T09:07:02Z</dcterms:created>
  <dcterms:modified xsi:type="dcterms:W3CDTF">2025-10-07T18:02:49Z</dcterms:modified>
</cp:coreProperties>
</file>